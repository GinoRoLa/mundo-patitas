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519D050D-14D1-4CDD-8D0D-208AE111747E}" xr6:coauthVersionLast="47" xr6:coauthVersionMax="47" xr10:uidLastSave="{00000000-0000-0000-0000-000000000000}"/>
  <bookViews>
    <workbookView xWindow="1692" yWindow="1452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3" i="1" l="1"/>
  <c r="E24" i="1"/>
  <c r="E20" i="1"/>
  <c r="E19" i="1"/>
  <c r="E18" i="1"/>
  <c r="E17" i="1"/>
  <c r="E22" i="1"/>
  <c r="E21" i="1"/>
  <c r="E26" i="1" l="1"/>
  <c r="E27" i="1" s="1"/>
  <c r="E28" i="1" s="1"/>
</calcChain>
</file>

<file path=xl/sharedStrings.xml><?xml version="1.0" encoding="utf-8"?>
<sst xmlns="http://schemas.openxmlformats.org/spreadsheetml/2006/main" count="41" uniqueCount="40">
  <si>
    <t>Datos del Cliente</t>
  </si>
  <si>
    <t>Cliente:</t>
  </si>
  <si>
    <t>Documento:</t>
  </si>
  <si>
    <t>Dirección:</t>
  </si>
  <si>
    <t>Calle y número, Distrito, Ciudad</t>
  </si>
  <si>
    <t>Contacto:</t>
  </si>
  <si>
    <t>Datos del Emisor (Proveedor)</t>
  </si>
  <si>
    <t>20123456789</t>
  </si>
  <si>
    <t>FechaEmision</t>
  </si>
  <si>
    <t>Razón Social: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</si>
  <si>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</si>
  <si>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</si>
  <si>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</si>
  <si>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</si>
  <si>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</si>
  <si>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</si>
  <si>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</si>
  <si>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</si>
  <si>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</si>
  <si>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</si>
  <si>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</si>
  <si>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</si>
  <si>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</si>
  <si>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hugovertiz71@gmail.com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</si>
  <si>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</si>
  <si>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</si>
  <si>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</si>
  <si>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</si>
  <si>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</si>
  <si>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Cotización de Productos</t>
  </si>
  <si>
    <t>Cotizacion N°</t>
  </si>
  <si>
    <t>Suministros Industriales SAC</t>
  </si>
  <si>
    <t>Av. Industrial 567, Callao</t>
  </si>
  <si>
    <t>Filtro para Acuario 3L</t>
  </si>
  <si>
    <t>Snack Mixto Para Aves Tropicales 500g</t>
  </si>
  <si>
    <t>Snack Saludable Para Perro 100g</t>
  </si>
  <si>
    <t>Suéter para Perro Mediano</t>
  </si>
  <si>
    <t>Cepillo Dental Para Perro Medium</t>
  </si>
  <si>
    <t>SC-031</t>
  </si>
  <si>
    <t>FechaEntrega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</si>
</sst>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  <font>
      <sz val="8"/>
      <color rgb="FF111827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  <border>
      <left style="thin">
        <color rgb="FFD9D9D9"/>
      </left>
      <right/>
      <top/>
      <bottom/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0" borderId="0" xfId="0" applyAlignment="1"/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  <xf numFmtId="0" fontId="0" fillId="0" borderId="0" xfId="0"/>
    <xf numFmtId="0" fontId="0" fillId="0" borderId="4" xfId="0" applyBorder="1"/>
    <xf numFmtId="0" fontId="0" fillId="0" borderId="2" xfId="0" applyBorder="1"/>
    <xf numFmtId="0" fontId="0" fillId="0" borderId="4" xfId="0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0" fontId="8" fillId="0" borderId="1" xfId="0" applyFont="1" applyBorder="1" applyAlignment="1">
      <alignment horizontal="left" vertical="center" wrapText="1" indent="1"/>
    </xf>
    <xf numFmtId="0" fontId="7" fillId="0" borderId="1" xfId="0" applyFont="1" applyBorder="1" applyAlignment="1">
      <alignment horizontal="left" vertical="center" wrapText="1" indent="1"/>
    </xf>
    <xf numFmtId="0" fontId="0" fillId="0" borderId="1" xfId="0" applyBorder="1" applyAlignment="1">
      <alignment horizontal="right" vertical="center"/>
    </xf>
    <xf numFmtId="4" fontId="0" fillId="0" borderId="1" xfId="0" applyNumberFormat="1" applyBorder="1" applyAlignment="1">
      <alignment horizontal="right" vertical="center"/>
    </xf>
    <xf numFmtId="0" fontId="2" fillId="0" borderId="0" xfId="0" applyFont="1"/>
    <xf numFmtId="0" fontId="0" fillId="0" borderId="0" xfId="0"/>
    <xf numFmtId="0" fontId="1" fillId="0" borderId="1" xfId="1">
      <alignment vertical="center"/>
    </xf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24">
  <autoFilter ref="A16:E24" xr:uid="{00000000-0009-0000-0100-000001000000}"/>
  <sortState xmlns:xlrd2="http://schemas.microsoft.com/office/spreadsheetml/2017/richdata2" ref="A17:E24">
    <sortCondition ref="B16:B24"/>
  </sortState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hugovertiz7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abSelected="1" topLeftCell="A10" zoomScale="85" zoomScaleNormal="85" workbookViewId="0">
      <selection activeCell="D11" sqref="D11:E11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28" t="s">
        <v>29</v>
      </c>
      <c r="B1" s="29"/>
      <c r="C1" s="1" t="s">
        <v>30</v>
      </c>
      <c r="D1" s="18" t="s">
        <v>38</v>
      </c>
    </row>
    <row r="3" spans="1:5" ht="15.6" x14ac:dyDescent="0.3">
      <c r="A3" s="1" t="s">
        <v>0</v>
      </c>
    </row>
    <row r="4" spans="1:5" x14ac:dyDescent="0.3">
      <c r="A4" s="2" t="s">
        <v>1</v>
      </c>
      <c r="B4" s="7" t="s">
        <v>27</v>
      </c>
    </row>
    <row r="5" spans="1:5" x14ac:dyDescent="0.3">
      <c r="A5" s="2" t="s">
        <v>2</v>
      </c>
      <c r="B5" s="13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s="13">
        <v>3335658</v>
      </c>
    </row>
    <row r="9" spans="1:5" ht="15.6" x14ac:dyDescent="0.3">
      <c r="A9" s="1" t="s">
        <v>6</v>
      </c>
    </row>
    <row r="10" spans="1:5" x14ac:dyDescent="0.3">
      <c r="A10" s="2" t="s">
        <v>28</v>
      </c>
      <c r="B10" t="s">
        <v>7</v>
      </c>
      <c r="D10" s="2" t="s">
        <v>8</v>
      </c>
      <c r="E10" s="17">
        <v>45969</v>
      </c>
    </row>
    <row r="11" spans="1:5" x14ac:dyDescent="0.3">
      <c r="A11" s="2" t="s">
        <v>9</v>
      </c>
      <c r="B11" s="16" t="s">
        <v>31</v>
      </c>
      <c r="D11" s="30" t="s">
        <v>39</v>
      </c>
      <c r="E11" s="17">
        <v>45980</v>
      </c>
    </row>
    <row r="12" spans="1:5" x14ac:dyDescent="0.3">
      <c r="A12" s="2" t="s">
        <v>3</v>
      </c>
      <c r="B12" s="16" t="s">
        <v>32</v>
      </c>
      <c r="D12" s="2" t="s">
        <v>10</v>
      </c>
      <c r="E12" t="s">
        <v>11</v>
      </c>
    </row>
    <row r="13" spans="1:5" x14ac:dyDescent="0.3">
      <c r="A13" s="2" t="s">
        <v>12</v>
      </c>
      <c r="B13" s="8" t="s">
        <v>23</v>
      </c>
      <c r="D13" s="2" t="s">
        <v>13</v>
      </c>
      <c r="E13" t="s">
        <v>14</v>
      </c>
    </row>
    <row r="16" spans="1:5" x14ac:dyDescent="0.3">
      <c r="A16" s="3" t="s">
        <v>15</v>
      </c>
      <c r="B16" s="3" t="s">
        <v>16</v>
      </c>
      <c r="C16" s="3" t="s">
        <v>17</v>
      </c>
      <c r="D16" s="3" t="s">
        <v>18</v>
      </c>
      <c r="E16" s="3" t="s">
        <v>19</v>
      </c>
    </row>
    <row r="17" spans="1:5" x14ac:dyDescent="0.3">
      <c r="A17" s="11">
        <v>1019</v>
      </c>
      <c r="B17" s="12" t="s">
        <v>37</v>
      </c>
      <c r="C17" s="21">
        <v>30</v>
      </c>
      <c r="D17" s="21">
        <v>11</v>
      </c>
      <c r="E17" s="4">
        <f t="shared" ref="E17:E22" si="0">IFERROR(C17*D17,"")</f>
        <v>330</v>
      </c>
    </row>
    <row r="18" spans="1:5" x14ac:dyDescent="0.3">
      <c r="A18" s="11">
        <v>1045</v>
      </c>
      <c r="B18" s="12" t="s">
        <v>33</v>
      </c>
      <c r="C18" s="21">
        <v>50</v>
      </c>
      <c r="D18" s="21">
        <v>7.5</v>
      </c>
      <c r="E18" s="4">
        <f t="shared" si="0"/>
        <v>375</v>
      </c>
    </row>
    <row r="19" spans="1:5" x14ac:dyDescent="0.3">
      <c r="A19" s="11">
        <v>1029</v>
      </c>
      <c r="B19" s="12" t="s">
        <v>34</v>
      </c>
      <c r="C19" s="21">
        <v>80</v>
      </c>
      <c r="D19" s="21">
        <v>8</v>
      </c>
      <c r="E19" s="4">
        <f t="shared" si="0"/>
        <v>640</v>
      </c>
    </row>
    <row r="20" spans="1:5" x14ac:dyDescent="0.3">
      <c r="A20" s="11">
        <v>1036</v>
      </c>
      <c r="B20" s="12" t="s">
        <v>35</v>
      </c>
      <c r="C20" s="20">
        <v>40</v>
      </c>
      <c r="D20">
        <v>9</v>
      </c>
      <c r="E20" s="4">
        <f t="shared" si="0"/>
        <v>360</v>
      </c>
    </row>
    <row r="21" spans="1:5" x14ac:dyDescent="0.3">
      <c r="A21" s="11">
        <v>1047</v>
      </c>
      <c r="B21" s="12" t="s">
        <v>36</v>
      </c>
      <c r="C21" s="22">
        <v>50</v>
      </c>
      <c r="D21" s="23">
        <v>9.5</v>
      </c>
      <c r="E21" s="4">
        <f t="shared" si="0"/>
        <v>475</v>
      </c>
    </row>
    <row r="22" spans="1:5" x14ac:dyDescent="0.3">
      <c r="A22" s="11">
        <v>1046</v>
      </c>
      <c r="B22" s="12" t="s">
        <v>24</v>
      </c>
      <c r="C22" s="22">
        <v>30</v>
      </c>
      <c r="D22" s="23">
        <v>7.5</v>
      </c>
      <c r="E22" s="4">
        <f t="shared" si="0"/>
        <v>225</v>
      </c>
    </row>
    <row r="23" spans="1:5" s="19" customFormat="1" x14ac:dyDescent="0.3">
      <c r="A23" s="11">
        <v>1026</v>
      </c>
      <c r="B23" s="12" t="s">
        <v>26</v>
      </c>
      <c r="C23" s="22">
        <v>20</v>
      </c>
      <c r="D23" s="26">
        <v>6</v>
      </c>
      <c r="E23" s="4">
        <f t="shared" ref="E23:E24" si="1">IFERROR(C23*D23,"")</f>
        <v>120</v>
      </c>
    </row>
    <row r="24" spans="1:5" x14ac:dyDescent="0.3">
      <c r="A24" s="11">
        <v>1027</v>
      </c>
      <c r="B24" s="12" t="s">
        <v>25</v>
      </c>
      <c r="C24" s="22">
        <v>100</v>
      </c>
      <c r="D24" s="23">
        <v>4</v>
      </c>
      <c r="E24" s="4">
        <f t="shared" si="1"/>
        <v>400</v>
      </c>
    </row>
    <row r="25" spans="1:5" s="19" customFormat="1" x14ac:dyDescent="0.3">
      <c r="A25" s="24"/>
      <c r="B25" s="25"/>
      <c r="C25" s="26"/>
      <c r="D25" s="26"/>
      <c r="E25" s="27"/>
    </row>
    <row r="26" spans="1:5" x14ac:dyDescent="0.3">
      <c r="D26" s="2" t="s">
        <v>20</v>
      </c>
      <c r="E26" s="5">
        <f>SUM(E17:E24)</f>
        <v>2925</v>
      </c>
    </row>
    <row r="27" spans="1:5" x14ac:dyDescent="0.3">
      <c r="D27" s="2" t="s">
        <v>21</v>
      </c>
      <c r="E27" s="5">
        <f>ROUND(E26*0.18,2)</f>
        <v>526.5</v>
      </c>
    </row>
    <row r="28" spans="1:5" x14ac:dyDescent="0.3">
      <c r="D28" s="2" t="s">
        <v>22</v>
      </c>
      <c r="E28" s="6">
        <f>E26+E27</f>
        <v>3451.5</v>
      </c>
    </row>
    <row r="30" spans="1:5" x14ac:dyDescent="0.3">
      <c r="A30" s="14"/>
      <c r="B30" s="15"/>
      <c r="C30" s="15"/>
      <c r="D30" s="15"/>
      <c r="E30" s="15"/>
    </row>
    <row r="35" spans="3:4" ht="15" thickBot="1" x14ac:dyDescent="0.35">
      <c r="C35" s="10"/>
      <c r="D35" s="9"/>
    </row>
    <row r="36" spans="3:4" ht="15" thickBot="1" x14ac:dyDescent="0.35">
      <c r="C36" s="10"/>
      <c r="D36" s="9"/>
    </row>
  </sheetData>
  <mergeCells count="1">
    <mergeCell ref="A1:B1"/>
  </mergeCells>
  <hyperlinks>
    <hyperlink ref="B13" r:id="rId1" xr:uid="{9AFCD020-A123-4151-A138-EB51AD32A02B}"/>
  </hyperlinks>
  <pageMargins left="0.75" right="0.75" top="1" bottom="1" header="0.5" footer="0.5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2025-11-13T04:40:25Z</dcterms:modified>
</cp:coreProperties>
</file>