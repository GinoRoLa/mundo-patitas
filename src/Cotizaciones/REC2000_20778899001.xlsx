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undo-patitas\src\Cotizaciones\"/>
    </mc:Choice>
  </mc:AlternateContent>
  <xr:revisionPtr revIDLastSave="0" documentId="13_ncr:1_{D5A784A0-EB2F-444C-86E0-061AAF8F90AE}" xr6:coauthVersionLast="47" xr6:coauthVersionMax="47" xr10:uidLastSave="{00000000-0000-0000-0000-000000000000}"/>
  <bookViews>
    <workbookView xWindow="1320" yWindow="1992" windowWidth="17280" windowHeight="8880" xr2:uid="{00000000-000D-0000-FFFF-FFFF00000000}"/>
  </bookViews>
  <sheets>
    <sheet name="COTIZ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4" i="1"/>
  <c r="E20" i="1"/>
  <c r="E19" i="1"/>
  <c r="E18" i="1"/>
  <c r="E17" i="1"/>
  <c r="E22" i="1"/>
  <c r="E21" i="1"/>
  <c r="E26" i="1" l="1"/>
  <c r="E27" i="1" s="1"/>
  <c r="E28" i="1" s="1"/>
</calcChain>
</file>

<file path=xl/sharedStrings.xml><?xml version="1.0" encoding="utf-8"?>
<sst xmlns="http://schemas.openxmlformats.org/spreadsheetml/2006/main" count="41" uniqueCount="40">
  <si>
    <t>Datos del Cliente</t>
  </si>
  <si>
    <t>Cliente:</t>
  </si>
  <si>
    <t>Documento:</t>
  </si>
  <si>
    <t>Dirección:</t>
  </si>
  <si>
    <t>Calle y número, Distrito, Ciudad</t>
  </si>
  <si>
    <t>Contacto:</t>
  </si>
  <si>
    <t>Datos del Emisor (Proveedor)</t>
  </si>
  <si>
    <t>20123456789</t>
  </si>
  <si>
    <t>FechaEmision</t>
  </si>
  <si>
    <t>Razón Social:</t>
  </si>
  <si>
    <t>FechaRecepcion (opcional)</t>
  </si>
  <si>
    <t>Moneda</t>
  </si>
  <si>
    <t>PEN</t>
  </si>
  <si>
    <t>Correo:</t>
  </si>
  <si>
    <t>Observaciones</t>
  </si>
  <si>
    <t>Vigencia: 7 días. Forma de pago: transferencia.</t>
  </si>
  <si>
    <t>Id_Producto</t>
  </si>
  <si>
    <t>Descripcion</t>
  </si>
  <si>
    <t>CantidadOfertada</t>
  </si>
  <si>
    <t>PrecioUnitario</t>
  </si>
  <si>
    <t>SubtotalLinea</t>
  </si>
  <si>
    <t>SubTotal</t>
  </si>
  <si>
    <t>IGV (18%)</t>
  </si>
  <si>
    <t>TOTAL</t>
  </si>
  <si>
    <t>hugovertiz71@gmail.com</t>
  </si>
  <si>
    <t>Termómetro Digital Acuario</t>
  </si>
  <si>
    <t>Vitaminas de Salmón para Gato 500ml</t>
  </si>
  <si>
    <t>Vitaminas Multinivel para Perro 250g</t>
  </si>
  <si>
    <t>Mundo Patitas SAC</t>
  </si>
  <si>
    <t>RUC:</t>
  </si>
  <si>
    <t>Cotización de Productos</t>
  </si>
  <si>
    <t>Cotizacion N°</t>
  </si>
  <si>
    <t>Suministros Industriales SAC</t>
  </si>
  <si>
    <t>Av. Industrial 567, Callao</t>
  </si>
  <si>
    <t>Filtro para Acuario 3L</t>
  </si>
  <si>
    <t>Snack Mixto Para Aves Tropicales 500g</t>
  </si>
  <si>
    <t>Snack Saludable Para Perro 100g</t>
  </si>
  <si>
    <t>Suéter para Perro Mediano</t>
  </si>
  <si>
    <t>Cepillo Dental Para Perro Medium</t>
  </si>
  <si>
    <t>SC-031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</si>
</sst>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20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111827"/>
      <name val="Segoe UI"/>
      <family val="2"/>
    </font>
    <font>
      <sz val="8"/>
      <color rgb="FF111827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E2E8F0"/>
      </bottom>
      <diagonal/>
    </border>
    <border>
      <left style="thin">
        <color rgb="FFD9D9D9"/>
      </left>
      <right/>
      <top/>
      <bottom/>
      <diagonal/>
    </border>
  </borders>
  <cellStyleXfs count="3">
    <xf numFmtId="0" fontId="0" fillId="0" borderId="0"/>
    <xf numFmtId="0" fontId="1" fillId="0" borderId="1">
      <alignment vertical="center"/>
    </xf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1" fillId="0" borderId="1" xfId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right" vertical="center"/>
    </xf>
    <xf numFmtId="4" fontId="0" fillId="0" borderId="0" xfId="0" applyNumberFormat="1"/>
    <xf numFmtId="4" fontId="5" fillId="0" borderId="0" xfId="0" applyNumberFormat="1" applyFont="1"/>
    <xf numFmtId="0" fontId="0" fillId="0" borderId="0" xfId="0"/>
    <xf numFmtId="0" fontId="6" fillId="0" borderId="0" xfId="2"/>
    <xf numFmtId="0" fontId="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/>
    <xf numFmtId="0" fontId="0" fillId="0" borderId="4" xfId="0" applyBorder="1"/>
    <xf numFmtId="0" fontId="0" fillId="0" borderId="2" xfId="0" applyBorder="1"/>
    <xf numFmtId="0" fontId="0" fillId="0" borderId="4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2" fillId="0" borderId="0" xfId="0" applyFont="1"/>
    <xf numFmtId="0" fontId="0" fillId="0" borderId="0" xfId="0"/>
  </cellXfs>
  <cellStyles count="3">
    <cellStyle name="Hipervínculo" xfId="2" builtinId="8"/>
    <cellStyle name="label_style" xfId="1" xr:uid="{00000000-0005-0000-0000-000001000000}"/>
    <cellStyle name="Normal" xfId="0" builtinId="0"/>
  </cellStyles>
  <dxfs count="3">
    <dxf>
      <border outline="0">
        <left style="thin">
          <color rgb="FFD9D9D9"/>
        </left>
      </border>
    </dxf>
    <dxf>
      <font>
        <b val="0"/>
        <strike val="0"/>
        <outline val="0"/>
        <shadow val="0"/>
        <u val="none"/>
        <vertAlign val="baseline"/>
        <sz val="8"/>
        <color rgb="FF111827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827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" displayName="Detalle" ref="A16:E24">
  <autoFilter ref="A16:E24" xr:uid="{00000000-0009-0000-0100-000001000000}"/>
  <sortState xmlns:xlrd2="http://schemas.microsoft.com/office/spreadsheetml/2017/richdata2" ref="A17:E24">
    <sortCondition ref="B16:B24"/>
  </sortState>
  <tableColumns count="5">
    <tableColumn id="1" xr3:uid="{00000000-0010-0000-0000-000001000000}" name="Id_Producto" dataDxfId="2"/>
    <tableColumn id="2" xr3:uid="{00000000-0010-0000-0000-000002000000}" name="Descripcion" dataDxfId="1"/>
    <tableColumn id="3" xr3:uid="{00000000-0010-0000-0000-000003000000}" name="CantidadOfertada" dataDxfId="0"/>
    <tableColumn id="4" xr3:uid="{00000000-0010-0000-0000-000004000000}" name="PrecioUnitario"/>
    <tableColumn id="5" xr3:uid="{00000000-0010-0000-0000-000005000000}" name="Subtotal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hugovertiz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10" zoomScale="85" zoomScaleNormal="85" workbookViewId="0">
      <selection activeCell="C20" sqref="C20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3" width="14" customWidth="1"/>
    <col min="4" max="5" width="16" customWidth="1"/>
  </cols>
  <sheetData>
    <row r="1" spans="1:5" ht="25.8" x14ac:dyDescent="0.5">
      <c r="A1" s="28" t="s">
        <v>30</v>
      </c>
      <c r="B1" s="29"/>
      <c r="C1" s="1" t="s">
        <v>31</v>
      </c>
      <c r="D1" s="18" t="s">
        <v>39</v>
      </c>
    </row>
    <row r="3" spans="1:5" ht="15.6" x14ac:dyDescent="0.3">
      <c r="A3" s="1" t="s">
        <v>0</v>
      </c>
    </row>
    <row r="4" spans="1:5" x14ac:dyDescent="0.3">
      <c r="A4" s="2" t="s">
        <v>1</v>
      </c>
      <c r="B4" s="7" t="s">
        <v>28</v>
      </c>
    </row>
    <row r="5" spans="1:5" x14ac:dyDescent="0.3">
      <c r="A5" s="2" t="s">
        <v>2</v>
      </c>
      <c r="B5" s="13">
        <v>20123456789</v>
      </c>
    </row>
    <row r="6" spans="1:5" x14ac:dyDescent="0.3">
      <c r="A6" s="2" t="s">
        <v>3</v>
      </c>
      <c r="B6" t="s">
        <v>4</v>
      </c>
    </row>
    <row r="7" spans="1:5" x14ac:dyDescent="0.3">
      <c r="A7" s="2" t="s">
        <v>5</v>
      </c>
      <c r="B7" s="13">
        <v>3335658</v>
      </c>
    </row>
    <row r="9" spans="1:5" ht="15.6" x14ac:dyDescent="0.3">
      <c r="A9" s="1" t="s">
        <v>6</v>
      </c>
    </row>
    <row r="10" spans="1:5" x14ac:dyDescent="0.3">
      <c r="A10" s="2" t="s">
        <v>29</v>
      </c>
      <c r="B10" t="s">
        <v>7</v>
      </c>
      <c r="D10" s="2" t="s">
        <v>8</v>
      </c>
      <c r="E10" s="17">
        <v>45969</v>
      </c>
    </row>
    <row r="11" spans="1:5" x14ac:dyDescent="0.3">
      <c r="A11" s="2" t="s">
        <v>9</v>
      </c>
      <c r="B11" s="16" t="s">
        <v>32</v>
      </c>
      <c r="D11" s="2" t="s">
        <v>10</v>
      </c>
    </row>
    <row r="12" spans="1:5" x14ac:dyDescent="0.3">
      <c r="A12" s="2" t="s">
        <v>3</v>
      </c>
      <c r="B12" s="16" t="s">
        <v>33</v>
      </c>
      <c r="D12" s="2" t="s">
        <v>11</v>
      </c>
      <c r="E12" t="s">
        <v>12</v>
      </c>
    </row>
    <row r="13" spans="1:5" x14ac:dyDescent="0.3">
      <c r="A13" s="2" t="s">
        <v>13</v>
      </c>
      <c r="B13" s="8" t="s">
        <v>24</v>
      </c>
      <c r="D13" s="2" t="s">
        <v>14</v>
      </c>
      <c r="E13" t="s">
        <v>15</v>
      </c>
    </row>
    <row r="16" spans="1:5" x14ac:dyDescent="0.3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</row>
    <row r="17" spans="1:5" x14ac:dyDescent="0.3">
      <c r="A17" s="11">
        <v>1019</v>
      </c>
      <c r="B17" s="12" t="s">
        <v>38</v>
      </c>
      <c r="C17" s="21">
        <v>30</v>
      </c>
      <c r="D17" s="21">
        <v>11</v>
      </c>
      <c r="E17" s="4">
        <f t="shared" ref="E17:E22" si="0">IFERROR(C17*D17,"")</f>
        <v>330</v>
      </c>
    </row>
    <row r="18" spans="1:5" x14ac:dyDescent="0.3">
      <c r="A18" s="11">
        <v>1045</v>
      </c>
      <c r="B18" s="12" t="s">
        <v>34</v>
      </c>
      <c r="C18" s="21">
        <v>50</v>
      </c>
      <c r="D18" s="21">
        <v>7.5</v>
      </c>
      <c r="E18" s="4">
        <f t="shared" si="0"/>
        <v>375</v>
      </c>
    </row>
    <row r="19" spans="1:5" x14ac:dyDescent="0.3">
      <c r="A19" s="11">
        <v>1029</v>
      </c>
      <c r="B19" s="12" t="s">
        <v>35</v>
      </c>
      <c r="C19" s="21">
        <v>80</v>
      </c>
      <c r="D19" s="21">
        <v>8</v>
      </c>
      <c r="E19" s="4">
        <f t="shared" si="0"/>
        <v>640</v>
      </c>
    </row>
    <row r="20" spans="1:5" x14ac:dyDescent="0.3">
      <c r="A20" s="11">
        <v>1036</v>
      </c>
      <c r="B20" s="12" t="s">
        <v>36</v>
      </c>
      <c r="C20" s="20">
        <v>40</v>
      </c>
      <c r="D20">
        <v>9</v>
      </c>
      <c r="E20" s="4">
        <f t="shared" si="0"/>
        <v>360</v>
      </c>
    </row>
    <row r="21" spans="1:5" x14ac:dyDescent="0.3">
      <c r="A21" s="11">
        <v>1047</v>
      </c>
      <c r="B21" s="12" t="s">
        <v>37</v>
      </c>
      <c r="C21" s="22">
        <v>50</v>
      </c>
      <c r="D21" s="23">
        <v>9.5</v>
      </c>
      <c r="E21" s="4">
        <f t="shared" si="0"/>
        <v>475</v>
      </c>
    </row>
    <row r="22" spans="1:5" x14ac:dyDescent="0.3">
      <c r="A22" s="11">
        <v>1046</v>
      </c>
      <c r="B22" s="12" t="s">
        <v>25</v>
      </c>
      <c r="C22" s="22">
        <v>30</v>
      </c>
      <c r="D22" s="23">
        <v>7.5</v>
      </c>
      <c r="E22" s="4">
        <f t="shared" si="0"/>
        <v>225</v>
      </c>
    </row>
    <row r="23" spans="1:5" s="19" customFormat="1" x14ac:dyDescent="0.3">
      <c r="A23" s="11">
        <v>1026</v>
      </c>
      <c r="B23" s="12" t="s">
        <v>27</v>
      </c>
      <c r="C23" s="22">
        <v>20</v>
      </c>
      <c r="D23" s="26">
        <v>6</v>
      </c>
      <c r="E23" s="4">
        <f t="shared" ref="E23:E24" si="1">IFERROR(C23*D23,"")</f>
        <v>120</v>
      </c>
    </row>
    <row r="24" spans="1:5" x14ac:dyDescent="0.3">
      <c r="A24" s="11">
        <v>1027</v>
      </c>
      <c r="B24" s="12" t="s">
        <v>26</v>
      </c>
      <c r="C24" s="22">
        <v>100</v>
      </c>
      <c r="D24" s="23">
        <v>4</v>
      </c>
      <c r="E24" s="4">
        <f t="shared" si="1"/>
        <v>400</v>
      </c>
    </row>
    <row r="25" spans="1:5" s="19" customFormat="1" x14ac:dyDescent="0.3">
      <c r="A25" s="24"/>
      <c r="B25" s="25"/>
      <c r="C25" s="26"/>
      <c r="D25" s="26"/>
      <c r="E25" s="27"/>
    </row>
    <row r="26" spans="1:5" x14ac:dyDescent="0.3">
      <c r="D26" s="2" t="s">
        <v>21</v>
      </c>
      <c r="E26" s="5">
        <f>SUM(E17:E24)</f>
        <v>2925</v>
      </c>
    </row>
    <row r="27" spans="1:5" x14ac:dyDescent="0.3">
      <c r="D27" s="2" t="s">
        <v>22</v>
      </c>
      <c r="E27" s="5">
        <f>ROUND(E26*0.18,2)</f>
        <v>526.5</v>
      </c>
    </row>
    <row r="28" spans="1:5" x14ac:dyDescent="0.3">
      <c r="D28" s="2" t="s">
        <v>23</v>
      </c>
      <c r="E28" s="6">
        <f>E26+E27</f>
        <v>3451.5</v>
      </c>
    </row>
    <row r="30" spans="1:5" x14ac:dyDescent="0.3">
      <c r="A30" s="14"/>
      <c r="B30" s="15"/>
      <c r="C30" s="15"/>
      <c r="D30" s="15"/>
      <c r="E30" s="15"/>
    </row>
    <row r="35" spans="3:4" ht="15" thickBot="1" x14ac:dyDescent="0.35">
      <c r="C35" s="10"/>
      <c r="D35" s="9"/>
    </row>
    <row r="36" spans="3:4" ht="15" thickBot="1" x14ac:dyDescent="0.35">
      <c r="C36" s="10"/>
      <c r="D36" s="9"/>
    </row>
  </sheetData>
  <mergeCells count="1">
    <mergeCell ref="A1:B1"/>
  </mergeCells>
  <hyperlinks>
    <hyperlink ref="B13" r:id="rId1" xr:uid="{9AFCD020-A123-4151-A138-EB51AD32A02B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2025-11-01T20:32:17Z</dcterms:created>
  <dcterms:modified xsi:type="dcterms:W3CDTF">2025-11-12T03:35:46Z</dcterms:modified>
</cp:coreProperties>
</file>