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0FCD3112-A85E-4CDF-B427-2D8247B2BF46}" xr6:coauthVersionLast="47" xr6:coauthVersionMax="47" xr10:uidLastSave="{00000000-0000-0000-0000-000000000000}"/>
  <bookViews>
    <workbookView xWindow="3708" yWindow="1740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<sst xmlns="http://schemas.openxmlformats.org/spreadsheetml/2006/main" count="37" uniqueCount="36">
  <si>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</si>
  <si>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</si>
  <si>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</si>
  <si>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</si>
  <si>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</si>
  <si>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</si>
  <si>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</si>
  <si>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</si>
  <si>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20123456789</t>
  </si>
  <si>
    <t>FechaEmision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</si>
  <si>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</si>
  <si>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</si>
  <si>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</si>
  <si>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</si>
  <si>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</si>
  <si>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</si>
  <si>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</si>
  <si>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</si>
  <si>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</si>
  <si>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</si>
  <si>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</si>
  <si>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</si>
  <si>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</si>
  <si>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</si>
  <si>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</si>
  <si>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hugovertiz71@gmail.com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</si>
  <si>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</si>
  <si>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</si>
  <si>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</si>
  <si>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</si>
  <si>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</si>
  <si>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Cotización de Productos</t>
  </si>
  <si>
    <t>Cotizacion N°</t>
  </si>
  <si>
    <t>Suministros Industriales SAC</t>
  </si>
  <si>
    <t>Av. Industrial 567, Callao</t>
  </si>
  <si>
    <t>SC-032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</si>
</sst>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/>
    <xf numFmtId="0" fontId="0" fillId="0" borderId="0" xfId="0"/>
    <xf numFmtId="0" fontId="2" fillId="0" borderId="0" xfId="0" applyFont="1"/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hugovertiz7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10" zoomScale="115" zoomScaleNormal="115" workbookViewId="0">
      <selection activeCell="G19" sqref="G19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8" t="s">
        <v>31</v>
      </c>
      <c r="B1" s="19"/>
      <c r="C1" s="1" t="s">
        <v>32</v>
      </c>
      <c r="D1" s="21" t="s">
        <v>35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29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30</v>
      </c>
      <c r="B10" t="s">
        <v>8</v>
      </c>
      <c r="D10" s="2" t="s">
        <v>9</v>
      </c>
      <c r="E10" s="20">
        <v>45969</v>
      </c>
    </row>
    <row r="11" spans="1:5" x14ac:dyDescent="0.3">
      <c r="A11" s="2" t="s">
        <v>10</v>
      </c>
      <c r="B11" s="17" t="s">
        <v>33</v>
      </c>
      <c r="D11" s="2" t="s">
        <v>11</v>
      </c>
    </row>
    <row r="12" spans="1:5" x14ac:dyDescent="0.3">
      <c r="A12" s="2" t="s">
        <v>3</v>
      </c>
      <c r="B12" s="17" t="s">
        <v>34</v>
      </c>
      <c r="D12" s="2" t="s">
        <v>12</v>
      </c>
      <c r="E12" t="s">
        <v>13</v>
      </c>
    </row>
    <row r="13" spans="1:5" x14ac:dyDescent="0.3">
      <c r="A13" s="2" t="s">
        <v>14</v>
      </c>
      <c r="B13" s="9" t="s">
        <v>25</v>
      </c>
      <c r="D13" s="2" t="s">
        <v>15</v>
      </c>
      <c r="E13" t="s">
        <v>16</v>
      </c>
    </row>
    <row r="16" spans="1:5" x14ac:dyDescent="0.3">
      <c r="A16" s="3" t="s">
        <v>17</v>
      </c>
      <c r="B16" s="3" t="s">
        <v>18</v>
      </c>
      <c r="C16" s="3" t="s">
        <v>19</v>
      </c>
      <c r="D16" s="3" t="s">
        <v>20</v>
      </c>
      <c r="E16" s="3" t="s">
        <v>21</v>
      </c>
    </row>
    <row r="17" spans="1:5" x14ac:dyDescent="0.3">
      <c r="A17" s="12">
        <v>1046</v>
      </c>
      <c r="B17" s="13" t="s">
        <v>26</v>
      </c>
      <c r="C17" s="4">
        <v>50</v>
      </c>
      <c r="D17" s="4">
        <v>9.5</v>
      </c>
      <c r="E17" s="5">
        <f>IFERROR(C17*D17,"")</f>
        <v>475</v>
      </c>
    </row>
    <row r="18" spans="1:5" x14ac:dyDescent="0.3">
      <c r="A18" s="12">
        <v>1027</v>
      </c>
      <c r="B18" s="13" t="s">
        <v>27</v>
      </c>
      <c r="C18" s="4">
        <v>30</v>
      </c>
      <c r="D18" s="4">
        <v>7.5</v>
      </c>
      <c r="E18" s="5">
        <f>IFERROR(C18*D18,"")</f>
        <v>225</v>
      </c>
    </row>
    <row r="19" spans="1:5" x14ac:dyDescent="0.3">
      <c r="A19" s="12">
        <v>1026</v>
      </c>
      <c r="B19" s="13" t="s">
        <v>28</v>
      </c>
      <c r="C19" s="4">
        <v>100</v>
      </c>
      <c r="D19" s="4">
        <v>4</v>
      </c>
      <c r="E19" s="5">
        <f>IFERROR(C19*D19,"")</f>
        <v>400</v>
      </c>
    </row>
    <row r="21" spans="1:5" x14ac:dyDescent="0.3">
      <c r="D21" s="2" t="s">
        <v>22</v>
      </c>
      <c r="E21" s="6">
        <f>SUM(E17:E19)</f>
        <v>1100</v>
      </c>
    </row>
    <row r="22" spans="1:5" x14ac:dyDescent="0.3">
      <c r="D22" s="2" t="s">
        <v>23</v>
      </c>
      <c r="E22" s="6">
        <f>ROUND(E21*0.18,2)</f>
        <v>198</v>
      </c>
    </row>
    <row r="23" spans="1:5" x14ac:dyDescent="0.3">
      <c r="D23" s="2" t="s">
        <v>24</v>
      </c>
      <c r="E23" s="7">
        <f>E21+E22</f>
        <v>1298</v>
      </c>
    </row>
    <row r="25" spans="1:5" x14ac:dyDescent="0.3">
      <c r="A25" s="15"/>
      <c r="B25" s="16"/>
      <c r="C25" s="16"/>
      <c r="D25" s="16"/>
      <c r="E25" s="16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1">
    <mergeCell ref="A1:B1"/>
  </mergeCells>
  <hyperlinks>
    <hyperlink ref="B13" r:id="rId1" xr:uid="{9AFCD020-A123-4151-A138-EB51AD32A02B}"/>
  </hyperlinks>
  <pageMargins left="0.75" right="0.75" top="1" bottom="1" header="0.5" footer="0.5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2025-11-10T01:02:05Z</dcterms:modified>
</cp:coreProperties>
</file>