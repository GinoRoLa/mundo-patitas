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undo-patitas\src\Cotizaciones\"/>
    </mc:Choice>
  </mc:AlternateContent>
  <xr:revisionPtr revIDLastSave="0" documentId="13_ncr:1_{7120AB9A-165D-4ED3-9576-C1DBD4E3813D}" xr6:coauthVersionLast="47" xr6:coauthVersionMax="47" xr10:uidLastSave="{00000000-0000-0000-0000-000000000000}"/>
  <bookViews>
    <workbookView xWindow="4752" yWindow="2784" windowWidth="17280" windowHeight="888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19" i="1"/>
  <c r="E18" i="1"/>
  <c r="E17" i="1"/>
  <c r="E25" i="1" l="1"/>
  <c r="E26" i="1" s="1"/>
  <c r="E27" i="1" s="1"/>
</calcChain>
</file>

<file path=xl/sharedStrings.xml><?xml version="1.0" encoding="utf-8"?>
<sst xmlns="http://schemas.openxmlformats.org/spreadsheetml/2006/main" count="41" uniqueCount="40">
  <si>
    <t>Cotización de Servicios</t>
  </si>
  <si>
    <t>Datos del Cliente</t>
  </si>
  <si>
    <t>Cliente:</t>
  </si>
  <si>
    <t>Documento:</t>
  </si>
  <si>
    <t>Dirección:</t>
  </si>
  <si>
    <t>Calle y número, Distrito, Ciudad</t>
  </si>
  <si>
    <t>Contacto:</t>
  </si>
  <si>
    <t>Nombre y teléfono</t>
  </si>
  <si>
    <t>Datos del Emisor (Proveedor)</t>
  </si>
  <si>
    <t>FechaEmision</t>
  </si>
  <si>
    <t>2025-11-01</t>
  </si>
  <si>
    <t>Razón Social:</t>
  </si>
  <si>
    <t>FechaRecepcion (opcional)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</si>
  <si>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</si>
  <si>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</si>
  <si>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</si>
  <si>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</si>
  <si>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</si>
  <si>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</si>
  <si>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</si>
  <si>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</si>
  <si>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</si>
  <si>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</si>
  <si>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</si>
  <si>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</si>
  <si>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</si>
  <si>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NOTA: El sistema leerá solo los campos necesarios. El Id_Requerimiento se tomará del nombre de archivo REC{IdReq}_{RUC}.xlsx</t>
  </si>
  <si>
    <t>Mundo Patitas SAC</t>
  </si>
  <si>
    <t>RUC:</t>
  </si>
  <si>
    <t>Comercial Andina E.I.R.L.</t>
  </si>
  <si>
    <t>Av. Principal 789, Arequipa</t>
  </si>
  <si>
    <t>contacto@comandina.com</t>
  </si>
  <si>
    <t>Pedigree Alimento Adulto 1kg</t>
  </si>
  <si>
    <t>Pedigree Alimento Adulto 4kg</t>
  </si>
  <si>
    <t>Purina Cat Chow Adulto 1kg</t>
  </si>
  <si>
    <t>Cotizacion N°</t>
  </si>
  <si>
    <t>Royal Canin Mini Adult 1kg</t>
  </si>
  <si>
    <t>Alimento Premium Para Perro Senior 3kg</t>
  </si>
  <si>
    <t>Dog Chow Adulto 2kg</t>
  </si>
  <si>
    <t>Nutra Nuggets Puppy 4kg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</si>
</sst>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1" fillId="0" borderId="1" xfId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0" fillId="0" borderId="0" xfId="0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border outline="0">
        <left style="thin">
          <color rgb="FFD9D9D9"/>
        </left>
      </border>
    </dxf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23">
  <autoFilter ref="A16:E23" xr:uid="{00000000-0009-0000-0100-000001000000}"/>
  <tableColumns count="5">
    <tableColumn id="1" xr3:uid="{00000000-0010-0000-0000-000001000000}" name="Id_Producto" dataDxfId="2"/>
    <tableColumn id="2" xr3:uid="{00000000-0010-0000-0000-000002000000}" name="Descripcion" dataDxfId="1"/>
    <tableColumn id="3" xr3:uid="{00000000-0010-0000-0000-000003000000}" name="CantidadOfertada" dataDxfId="0"/>
    <tableColumn id="4" xr3:uid="{00000000-0010-0000-0000-000004000000}" name="PrecioUnitario"/>
    <tableColumn id="5" xr3:uid="{00000000-0010-0000-0000-000005000000}" name="Subtotal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2" zoomScale="85" zoomScaleNormal="85" workbookViewId="0">
      <selection activeCell="B26" sqref="B26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5.8" x14ac:dyDescent="0.5">
      <c r="A1" s="19" t="s">
        <v>0</v>
      </c>
      <c r="B1" s="20"/>
      <c r="C1" s="1" t="s">
        <v>35</v>
      </c>
      <c r="D1" s="17">
        <v>96231</v>
      </c>
    </row>
    <row r="3" spans="1:5" ht="15.6" x14ac:dyDescent="0.3">
      <c r="A3" s="1" t="s">
        <v>1</v>
      </c>
    </row>
    <row r="4" spans="1:5" x14ac:dyDescent="0.3">
      <c r="A4" s="2" t="s">
        <v>2</v>
      </c>
      <c r="B4" s="8" t="s">
        <v>27</v>
      </c>
    </row>
    <row r="5" spans="1:5" x14ac:dyDescent="0.3">
      <c r="A5" s="2" t="s">
        <v>3</v>
      </c>
      <c r="B5" s="14">
        <v>20123456789</v>
      </c>
    </row>
    <row r="6" spans="1:5" x14ac:dyDescent="0.3">
      <c r="A6" s="2" t="s">
        <v>4</v>
      </c>
      <c r="B6" t="s">
        <v>5</v>
      </c>
    </row>
    <row r="7" spans="1:5" x14ac:dyDescent="0.3">
      <c r="A7" s="2" t="s">
        <v>6</v>
      </c>
      <c r="B7" t="s">
        <v>7</v>
      </c>
    </row>
    <row r="9" spans="1:5" ht="15.6" x14ac:dyDescent="0.3">
      <c r="A9" s="1" t="s">
        <v>8</v>
      </c>
    </row>
    <row r="10" spans="1:5" x14ac:dyDescent="0.3">
      <c r="A10" s="2" t="s">
        <v>28</v>
      </c>
      <c r="B10" s="14">
        <v>20456789123</v>
      </c>
      <c r="D10" s="2" t="s">
        <v>9</v>
      </c>
      <c r="E10" t="s">
        <v>10</v>
      </c>
    </row>
    <row r="11" spans="1:5" x14ac:dyDescent="0.3">
      <c r="A11" s="2" t="s">
        <v>11</v>
      </c>
      <c r="B11" s="15" t="s">
        <v>29</v>
      </c>
      <c r="D11" s="2" t="s">
        <v>12</v>
      </c>
    </row>
    <row r="12" spans="1:5" x14ac:dyDescent="0.3">
      <c r="A12" s="2" t="s">
        <v>4</v>
      </c>
      <c r="B12" s="15" t="s">
        <v>30</v>
      </c>
      <c r="D12" s="2" t="s">
        <v>13</v>
      </c>
      <c r="E12" t="s">
        <v>14</v>
      </c>
    </row>
    <row r="13" spans="1:5" x14ac:dyDescent="0.3">
      <c r="A13" s="2" t="s">
        <v>15</v>
      </c>
      <c r="B13" s="9" t="s">
        <v>31</v>
      </c>
      <c r="D13" s="2" t="s">
        <v>16</v>
      </c>
      <c r="E13" t="s">
        <v>17</v>
      </c>
    </row>
    <row r="16" spans="1:5" x14ac:dyDescent="0.3">
      <c r="A16" s="3" t="s">
        <v>18</v>
      </c>
      <c r="B16" s="3" t="s">
        <v>19</v>
      </c>
      <c r="C16" s="3" t="s">
        <v>20</v>
      </c>
      <c r="D16" s="3" t="s">
        <v>21</v>
      </c>
      <c r="E16" s="3" t="s">
        <v>22</v>
      </c>
    </row>
    <row r="17" spans="1:5" x14ac:dyDescent="0.3">
      <c r="A17" s="12">
        <v>1000</v>
      </c>
      <c r="B17" s="13" t="s">
        <v>32</v>
      </c>
      <c r="C17" s="4">
        <v>150</v>
      </c>
      <c r="D17" s="4">
        <v>15</v>
      </c>
      <c r="E17" s="5">
        <f>IFERROR(C17*D17,"")</f>
        <v>2250</v>
      </c>
    </row>
    <row r="18" spans="1:5" x14ac:dyDescent="0.3">
      <c r="A18" s="12">
        <v>1002</v>
      </c>
      <c r="B18" s="13" t="s">
        <v>33</v>
      </c>
      <c r="C18" s="4">
        <v>80</v>
      </c>
      <c r="D18" s="4">
        <v>12</v>
      </c>
      <c r="E18" s="5">
        <f>IFERROR(C18*D18,"")</f>
        <v>960</v>
      </c>
    </row>
    <row r="19" spans="1:5" s="18" customFormat="1" x14ac:dyDescent="0.3">
      <c r="A19" s="12">
        <v>1012</v>
      </c>
      <c r="B19" s="16" t="s">
        <v>34</v>
      </c>
      <c r="C19" s="4">
        <v>150</v>
      </c>
      <c r="D19" s="4">
        <v>6.5</v>
      </c>
      <c r="E19" s="5">
        <f>IFERROR(C19*D19,"")</f>
        <v>975</v>
      </c>
    </row>
    <row r="20" spans="1:5" s="18" customFormat="1" x14ac:dyDescent="0.3">
      <c r="A20" s="12">
        <v>1008</v>
      </c>
      <c r="B20" s="16" t="s">
        <v>36</v>
      </c>
      <c r="C20" s="4">
        <v>50</v>
      </c>
      <c r="D20" s="4">
        <v>5.6</v>
      </c>
      <c r="E20" s="5">
        <f t="shared" ref="E20:E23" si="0">IFERROR(C20*D20,"")</f>
        <v>280</v>
      </c>
    </row>
    <row r="21" spans="1:5" s="18" customFormat="1" x14ac:dyDescent="0.3">
      <c r="A21" s="12">
        <v>1035</v>
      </c>
      <c r="B21" s="16" t="s">
        <v>37</v>
      </c>
      <c r="C21" s="4">
        <v>80</v>
      </c>
      <c r="D21" s="4">
        <v>7</v>
      </c>
      <c r="E21" s="5">
        <f t="shared" si="0"/>
        <v>560</v>
      </c>
    </row>
    <row r="22" spans="1:5" s="18" customFormat="1" x14ac:dyDescent="0.3">
      <c r="A22" s="12">
        <v>1004</v>
      </c>
      <c r="B22" s="16" t="s">
        <v>38</v>
      </c>
      <c r="C22" s="4">
        <v>100</v>
      </c>
      <c r="D22" s="4">
        <v>10</v>
      </c>
      <c r="E22" s="5">
        <f t="shared" si="0"/>
        <v>1000</v>
      </c>
    </row>
    <row r="23" spans="1:5" x14ac:dyDescent="0.3">
      <c r="A23" s="12">
        <v>1006</v>
      </c>
      <c r="B23" s="16" t="s">
        <v>39</v>
      </c>
      <c r="C23" s="4">
        <v>40</v>
      </c>
      <c r="D23" s="4">
        <v>9.8000000000000007</v>
      </c>
      <c r="E23" s="5">
        <f t="shared" si="0"/>
        <v>392</v>
      </c>
    </row>
    <row r="25" spans="1:5" x14ac:dyDescent="0.3">
      <c r="D25" s="2" t="s">
        <v>23</v>
      </c>
      <c r="E25" s="6">
        <f>SUM(E17:E23)</f>
        <v>6417</v>
      </c>
    </row>
    <row r="26" spans="1:5" x14ac:dyDescent="0.3">
      <c r="D26" s="2" t="s">
        <v>24</v>
      </c>
      <c r="E26" s="6">
        <f>ROUND(E25*0.18,2)</f>
        <v>1155.06</v>
      </c>
    </row>
    <row r="27" spans="1:5" x14ac:dyDescent="0.3">
      <c r="D27" s="2" t="s">
        <v>25</v>
      </c>
      <c r="E27" s="7">
        <f>E25+E26</f>
        <v>7572.0599999999995</v>
      </c>
    </row>
    <row r="29" spans="1:5" x14ac:dyDescent="0.3">
      <c r="A29" s="21" t="s">
        <v>26</v>
      </c>
      <c r="B29" s="20"/>
      <c r="C29" s="20"/>
      <c r="D29" s="20"/>
      <c r="E29" s="20"/>
    </row>
    <row r="34" spans="3:4" ht="15" thickBot="1" x14ac:dyDescent="0.35">
      <c r="C34" s="11"/>
      <c r="D34" s="10"/>
    </row>
    <row r="35" spans="3:4" ht="15" thickBot="1" x14ac:dyDescent="0.35">
      <c r="C35" s="11"/>
      <c r="D35" s="10"/>
    </row>
  </sheetData>
  <mergeCells count="2">
    <mergeCell ref="A1:B1"/>
    <mergeCell ref="A29:E29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2025-11-01T20:32:17Z</dcterms:created>
  <dcterms:modified xsi:type="dcterms:W3CDTF">2025-11-12T03:05:47Z</dcterms:modified>
</cp:coreProperties>
</file>