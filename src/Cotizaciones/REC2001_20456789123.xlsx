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17CC9C71-DB6E-4039-879A-E7DBE74CF833}" xr6:coauthVersionLast="47" xr6:coauthVersionMax="47" xr10:uidLastSave="{00000000-0000-0000-0000-000000000000}"/>
  <bookViews>
    <workbookView xWindow="9840" yWindow="1716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21" i="1" l="1"/>
  <c r="E22" i="1" s="1"/>
  <c r="E23" i="1" s="1"/>
</calcChain>
</file>

<file path=xl/sharedStrings.xml><?xml version="1.0" encoding="utf-8"?>
<sst xmlns="http://schemas.openxmlformats.org/spreadsheetml/2006/main" count="36" uniqueCount="35">
  <si>
    <t>Cotización de Servicios</t>
  </si>
  <si>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</si>
  <si>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</si>
  <si>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</si>
  <si>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</si>
  <si>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</si>
  <si>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</si>
  <si>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</si>
  <si>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</si>
  <si>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</si>
  <si>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2025-11-01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</si>
  <si>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</si>
  <si>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</si>
  <si>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</si>
  <si>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</si>
  <si>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</si>
  <si>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</si>
  <si>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</si>
  <si>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</si>
  <si>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</si>
  <si>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</si>
  <si>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</si>
  <si>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</si>
  <si>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</si>
  <si>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</si>
  <si>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</si>
  <si>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</si>
  <si>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Mundo Patitas SAC</t>
  </si>
  <si>
    <t>RUC:</t>
  </si>
  <si>
    <t>Comercial Andina E.I.R.L.</t>
  </si>
  <si>
    <t>Av. Principal 789, Arequipa</t>
  </si>
  <si>
    <t>contacto@comandina.com</t>
  </si>
  <si>
    <t>Pedigree Alimento Adulto 1kg</t>
  </si>
  <si>
    <t>Pedigree Alimento Adulto 4kg</t>
  </si>
  <si>
    <t>Purina Cat Chow Adulto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</si>
</sst>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19">
  <autoFilter ref="A16:E19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3" zoomScale="115" zoomScaleNormal="115" workbookViewId="0">
      <selection activeCell="B22" sqref="B22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7" t="s">
        <v>0</v>
      </c>
      <c r="B1" s="18"/>
    </row>
    <row r="3" spans="1:5" ht="15.6" x14ac:dyDescent="0.3">
      <c r="A3" s="1" t="s">
        <v>1</v>
      </c>
    </row>
    <row r="4" spans="1:5" x14ac:dyDescent="0.3">
      <c r="A4" s="2" t="s">
        <v>2</v>
      </c>
      <c r="B4" s="8" t="s">
        <v>27</v>
      </c>
    </row>
    <row r="5" spans="1:5" x14ac:dyDescent="0.3">
      <c r="A5" s="2" t="s">
        <v>3</v>
      </c>
      <c r="B5" s="14">
        <v>20123456789</v>
      </c>
    </row>
    <row r="6" spans="1:5" x14ac:dyDescent="0.3">
      <c r="A6" s="2" t="s">
        <v>4</v>
      </c>
      <c r="B6" t="s">
        <v>5</v>
      </c>
    </row>
    <row r="7" spans="1:5" x14ac:dyDescent="0.3">
      <c r="A7" s="2" t="s">
        <v>6</v>
      </c>
      <c r="B7" t="s">
        <v>7</v>
      </c>
    </row>
    <row r="9" spans="1:5" ht="15.6" x14ac:dyDescent="0.3">
      <c r="A9" s="1" t="s">
        <v>8</v>
      </c>
    </row>
    <row r="10" spans="1:5" x14ac:dyDescent="0.3">
      <c r="A10" s="2" t="s">
        <v>28</v>
      </c>
      <c r="B10" s="14">
        <v>20456789123</v>
      </c>
      <c r="D10" s="2" t="s">
        <v>9</v>
      </c>
      <c r="E10" t="s">
        <v>10</v>
      </c>
    </row>
    <row r="11" spans="1:5" x14ac:dyDescent="0.3">
      <c r="A11" s="2" t="s">
        <v>11</v>
      </c>
      <c r="B11" s="15" t="s">
        <v>29</v>
      </c>
      <c r="D11" s="2" t="s">
        <v>12</v>
      </c>
    </row>
    <row r="12" spans="1:5" x14ac:dyDescent="0.3">
      <c r="A12" s="2" t="s">
        <v>4</v>
      </c>
      <c r="B12" s="15" t="s">
        <v>30</v>
      </c>
      <c r="D12" s="2" t="s">
        <v>13</v>
      </c>
      <c r="E12" t="s">
        <v>14</v>
      </c>
    </row>
    <row r="13" spans="1:5" x14ac:dyDescent="0.3">
      <c r="A13" s="2" t="s">
        <v>15</v>
      </c>
      <c r="B13" s="9" t="s">
        <v>31</v>
      </c>
      <c r="D13" s="2" t="s">
        <v>16</v>
      </c>
      <c r="E13" t="s">
        <v>17</v>
      </c>
    </row>
    <row r="16" spans="1:5" x14ac:dyDescent="0.3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</row>
    <row r="17" spans="1:5" x14ac:dyDescent="0.3">
      <c r="A17" s="12">
        <v>1000</v>
      </c>
      <c r="B17" s="13" t="s">
        <v>32</v>
      </c>
      <c r="C17" s="4">
        <v>150</v>
      </c>
      <c r="D17" s="4">
        <v>50</v>
      </c>
      <c r="E17" s="5">
        <f>IFERROR(C17*D17,"")</f>
        <v>7500</v>
      </c>
    </row>
    <row r="18" spans="1:5" x14ac:dyDescent="0.3">
      <c r="A18" s="12">
        <v>1002</v>
      </c>
      <c r="B18" s="13" t="s">
        <v>33</v>
      </c>
      <c r="C18" s="4">
        <v>80</v>
      </c>
      <c r="D18" s="4">
        <v>12</v>
      </c>
      <c r="E18" s="5">
        <f>IFERROR(C18*D18,"")</f>
        <v>960</v>
      </c>
    </row>
    <row r="19" spans="1:5" x14ac:dyDescent="0.3">
      <c r="A19" s="12">
        <v>1012</v>
      </c>
      <c r="B19" s="16" t="s">
        <v>34</v>
      </c>
      <c r="C19" s="4">
        <v>150</v>
      </c>
      <c r="D19" s="4">
        <v>65</v>
      </c>
      <c r="E19" s="5">
        <f>IFERROR(C19*D19,"")</f>
        <v>9750</v>
      </c>
    </row>
    <row r="21" spans="1:5" x14ac:dyDescent="0.3">
      <c r="D21" s="2" t="s">
        <v>23</v>
      </c>
      <c r="E21" s="6">
        <f>SUM(E17:E19)</f>
        <v>18210</v>
      </c>
    </row>
    <row r="22" spans="1:5" x14ac:dyDescent="0.3">
      <c r="D22" s="2" t="s">
        <v>24</v>
      </c>
      <c r="E22" s="6">
        <f>ROUND(E21*0.18,2)</f>
        <v>3277.8</v>
      </c>
    </row>
    <row r="23" spans="1:5" x14ac:dyDescent="0.3">
      <c r="D23" s="2" t="s">
        <v>25</v>
      </c>
      <c r="E23" s="7">
        <f>E21+E22</f>
        <v>21487.8</v>
      </c>
    </row>
    <row r="25" spans="1:5" x14ac:dyDescent="0.3">
      <c r="A25" s="19" t="s">
        <v>26</v>
      </c>
      <c r="B25" s="18"/>
      <c r="C25" s="18"/>
      <c r="D25" s="18"/>
      <c r="E25" s="18"/>
    </row>
    <row r="30" spans="1:5" ht="15" thickBot="1" x14ac:dyDescent="0.35">
      <c r="C30" s="11"/>
      <c r="D30" s="10"/>
    </row>
    <row r="31" spans="1:5" ht="15" thickBot="1" x14ac:dyDescent="0.35">
      <c r="C31" s="11"/>
      <c r="D31" s="10"/>
    </row>
  </sheetData>
  <mergeCells count="2">
    <mergeCell ref="A1:B1"/>
    <mergeCell ref="A25:E2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2025-11-05T03:10:16Z</dcterms:modified>
</cp:coreProperties>
</file>