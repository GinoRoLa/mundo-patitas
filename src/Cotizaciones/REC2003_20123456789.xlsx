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562F67E3-F4E2-4940-962A-046E456CC041}" xr6:coauthVersionLast="47" xr6:coauthVersionMax="47" xr10:uidLastSave="{00000000-0000-0000-0000-000000000000}"/>
  <bookViews>
    <workbookView xWindow="3360" yWindow="139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<sst xmlns="http://schemas.openxmlformats.org/spreadsheetml/2006/main" count="36" uniqueCount="35">
  <si>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</si>
  <si>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</si>
  <si>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</si>
  <si>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</si>
  <si>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</si>
  <si>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</si>
  <si>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</si>
  <si>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</si>
  <si>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</si>
  <si>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</si>
  <si>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</si>
  <si>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</si>
  <si>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</si>
  <si>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</si>
  <si>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</si>
  <si>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</si>
  <si>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</si>
  <si>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</si>
  <si>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</si>
  <si>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</si>
  <si>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</si>
  <si>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</si>
  <si>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</si>
  <si>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</si>
  <si>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</si>
  <si>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</si>
  <si>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</si>
  <si>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</si>
  <si>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</si>
  <si>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</si>
  <si>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Av. Principal 789, Arequipa</t>
  </si>
  <si>
    <t>contacto@comandina.com</t>
  </si>
  <si>
    <t>Cotización de Productos</t>
  </si>
  <si>
    <t>Proveedor 2</t>
  </si>
  <si>
    <t>Cotizacion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</si>
</sst>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4" zoomScale="115" zoomScaleNormal="115" workbookViewId="0">
      <selection activeCell="D10" sqref="D10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8" t="s">
        <v>32</v>
      </c>
      <c r="B1" s="19"/>
      <c r="C1" s="1" t="s">
        <v>34</v>
      </c>
      <c r="D1" s="16">
        <v>21630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29</v>
      </c>
      <c r="B10" s="14">
        <v>20123456789</v>
      </c>
      <c r="D10" s="2" t="s">
        <v>8</v>
      </c>
      <c r="E10" s="17">
        <v>45992</v>
      </c>
    </row>
    <row r="11" spans="1:5" x14ac:dyDescent="0.3">
      <c r="A11" s="2" t="s">
        <v>9</v>
      </c>
      <c r="B11" s="15" t="s">
        <v>33</v>
      </c>
      <c r="D11" s="2" t="s">
        <v>10</v>
      </c>
    </row>
    <row r="12" spans="1:5" x14ac:dyDescent="0.3">
      <c r="A12" s="2" t="s">
        <v>3</v>
      </c>
      <c r="B12" s="15" t="s">
        <v>30</v>
      </c>
      <c r="D12" s="2" t="s">
        <v>11</v>
      </c>
      <c r="E12" t="s">
        <v>12</v>
      </c>
    </row>
    <row r="13" spans="1:5" x14ac:dyDescent="0.3">
      <c r="A13" s="2" t="s">
        <v>13</v>
      </c>
      <c r="B13" s="9" t="s">
        <v>31</v>
      </c>
      <c r="D13" s="2" t="s">
        <v>14</v>
      </c>
      <c r="E13" t="s">
        <v>15</v>
      </c>
    </row>
    <row r="16" spans="1:5" x14ac:dyDescent="0.3">
      <c r="A16" s="3" t="s">
        <v>16</v>
      </c>
      <c r="B16" s="3" t="s">
        <v>17</v>
      </c>
      <c r="C16" s="3" t="s">
        <v>18</v>
      </c>
      <c r="D16" s="3" t="s">
        <v>19</v>
      </c>
      <c r="E16" s="3" t="s">
        <v>20</v>
      </c>
    </row>
    <row r="17" spans="1:5" x14ac:dyDescent="0.3">
      <c r="A17" s="12">
        <v>1032</v>
      </c>
      <c r="B17" s="13" t="s">
        <v>25</v>
      </c>
      <c r="C17" s="4">
        <v>40</v>
      </c>
      <c r="D17" s="4">
        <v>9</v>
      </c>
      <c r="E17" s="5">
        <f>IFERROR(C17*D17,"")</f>
        <v>360</v>
      </c>
    </row>
    <row r="18" spans="1:5" x14ac:dyDescent="0.3">
      <c r="A18" s="12">
        <v>1033</v>
      </c>
      <c r="B18" s="13" t="s">
        <v>26</v>
      </c>
      <c r="C18" s="4">
        <v>50</v>
      </c>
      <c r="D18" s="4">
        <v>7</v>
      </c>
      <c r="E18" s="5">
        <f>IFERROR(C18*D18,"")</f>
        <v>350</v>
      </c>
    </row>
    <row r="19" spans="1:5" x14ac:dyDescent="0.3">
      <c r="A19" s="12">
        <v>1040</v>
      </c>
      <c r="B19" s="13" t="s">
        <v>27</v>
      </c>
      <c r="C19" s="4">
        <v>80</v>
      </c>
      <c r="D19" s="4">
        <v>5</v>
      </c>
      <c r="E19" s="5">
        <f>IFERROR(C19*D19,"")</f>
        <v>400</v>
      </c>
    </row>
    <row r="21" spans="1:5" x14ac:dyDescent="0.3">
      <c r="D21" s="2" t="s">
        <v>21</v>
      </c>
      <c r="E21" s="6">
        <f>SUM(E17:E19)</f>
        <v>1110</v>
      </c>
    </row>
    <row r="22" spans="1:5" x14ac:dyDescent="0.3">
      <c r="D22" s="2" t="s">
        <v>22</v>
      </c>
      <c r="E22" s="6">
        <f>ROUND(E21*0.18,2)</f>
        <v>199.8</v>
      </c>
    </row>
    <row r="23" spans="1:5" x14ac:dyDescent="0.3">
      <c r="D23" s="2" t="s">
        <v>23</v>
      </c>
      <c r="E23" s="7">
        <f>E21+E22</f>
        <v>1309.8</v>
      </c>
    </row>
    <row r="25" spans="1:5" x14ac:dyDescent="0.3">
      <c r="A25" s="20" t="s">
        <v>24</v>
      </c>
      <c r="B25" s="19"/>
      <c r="C25" s="19"/>
      <c r="D25" s="19"/>
      <c r="E25" s="19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2025-11-07T06:03:26Z</dcterms:modified>
</cp:coreProperties>
</file>