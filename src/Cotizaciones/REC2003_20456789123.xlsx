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mundo-patitas\src\Cotizaciones\"/>
    </mc:Choice>
  </mc:AlternateContent>
  <xr:revisionPtr revIDLastSave="0" documentId="13_ncr:1_{7DDE72DB-9437-455D-9AB0-8B9916A8C863}" xr6:coauthVersionLast="47" xr6:coauthVersionMax="47" xr10:uidLastSave="{00000000-0000-0000-0000-000000000000}"/>
  <bookViews>
    <workbookView xWindow="5100" yWindow="3132" windowWidth="17280" windowHeight="8880" xr2:uid="{00000000-000D-0000-FFFF-FFFF00000000}"/>
  </bookViews>
  <sheets>
    <sheet name="COTIZ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19" i="1"/>
  <c r="E18" i="1"/>
  <c r="E17" i="1"/>
  <c r="E25" i="1" s="1"/>
  <c r="E26" i="1" l="1"/>
  <c r="E27" i="1" s="1"/>
</calcChain>
</file>

<file path=xl/sharedStrings.xml><?xml version="1.0" encoding="utf-8"?>
<sst xmlns="http://schemas.openxmlformats.org/spreadsheetml/2006/main" count="41" uniqueCount="40">
  <si>
    <t>Datos del Cliente</t>
  </si>
  <si>
    <t>Cliente:</t>
  </si>
  <si>
    <t>Documento:</t>
  </si>
  <si>
    <t>Dirección:</t>
  </si>
  <si>
    <t>Calle y número, Distrito, Ciudad</t>
  </si>
  <si>
    <t>Contacto:</t>
  </si>
  <si>
    <t>Nombre y teléfono</t>
  </si>
  <si>
    <t>Datos del Emisor (Proveedor)</t>
  </si>
  <si>
    <t>FechaEmision</t>
  </si>
  <si>
    <t>2025-11-01</t>
  </si>
  <si>
    <t>Razón Social:</t>
  </si>
  <si>
    <t>FechaRecepcion (opcional)</t>
  </si>
  <si>
    <t>Moneda</t>
  </si>
  <si>
    <t>PEN</t>
  </si>
  <si>
    <t>Correo:</t>
  </si>
  <si>
    <t>Observaciones</t>
  </si>
  <si>
    <t>Vigencia: 7 días. Forma de pago: transferencia.</t>
  </si>
  <si>
    <t>Id_Producto</t>
  </si>
  <si>
    <t>Descripcion</t>
  </si>
  <si>
    <t>CantidadOfertada</t>
  </si>
  <si>
    <t>PrecioUnitario</t>
  </si>
  <si>
    <t>SubtotalLinea</t>
  </si>
  <si>
    <t>SubTotal</t>
  </si>
  <si>
    <t>IGV (18%)</t>
  </si>
  <si>
    <t>TOTAL</t>
  </si>
  <si>
    <t>NOTA: El sistema leerá solo los campos necesarios. El Id_Requerimiento se tomará del nombre de archivo REC{IdReq}_{RUC}.xlsx</t>
  </si>
  <si>
    <t>Termómetro Digital Acuario</t>
  </si>
  <si>
    <t>Vitaminas de Salmón para Gato 500ml</t>
  </si>
  <si>
    <t>Vitaminas Multinivel para Perro 250g</t>
  </si>
  <si>
    <t>Mundo Patitas SAC</t>
  </si>
  <si>
    <t>RUC:</t>
  </si>
  <si>
    <t>Comercial Andina E.I.R.L.</t>
  </si>
  <si>
    <t>Av. Principal 789, Arequipa</t>
  </si>
  <si>
    <t>contacto@comandina.com</t>
  </si>
  <si>
    <t>Cotización de Productos</t>
  </si>
  <si>
    <t>Cotizacion N°</t>
  </si>
  <si>
    <t>Cepillo Dental Para Perro Medium</t>
  </si>
  <si>
    <t>Dentastix para perros pequeños 3pzas</t>
  </si>
  <si>
    <t>Hueso Dental Chiquito</t>
  </si>
  <si>
    <t>Shampoo antipulgas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</si>
</sst>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</font>
    <font>
      <b/>
      <sz val="20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11182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E2E8F0"/>
      </bottom>
      <diagonal/>
    </border>
    <border>
      <left style="thin">
        <color rgb="FFD9D9D9"/>
      </left>
      <right/>
      <top/>
      <bottom/>
      <diagonal/>
    </border>
  </borders>
  <cellStyleXfs count="3">
    <xf numFmtId="0" fontId="0" fillId="0" borderId="0"/>
    <xf numFmtId="0" fontId="1" fillId="0" borderId="1">
      <alignment vertical="center"/>
    </xf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1" fillId="0" borderId="1" xfId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0" xfId="0" applyNumberFormat="1"/>
    <xf numFmtId="4" fontId="5" fillId="0" borderId="0" xfId="0" applyNumberFormat="1" applyFont="1"/>
    <xf numFmtId="0" fontId="0" fillId="0" borderId="0" xfId="0"/>
    <xf numFmtId="0" fontId="6" fillId="0" borderId="0" xfId="2"/>
    <xf numFmtId="0" fontId="7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righ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</cellXfs>
  <cellStyles count="3">
    <cellStyle name="Hipervínculo" xfId="2" builtinId="8"/>
    <cellStyle name="label_style" xfId="1" xr:uid="{00000000-0005-0000-0000-000001000000}"/>
    <cellStyle name="Normal" xfId="0" builtinId="0"/>
  </cellStyles>
  <dxfs count="3">
    <dxf>
      <font>
        <b val="0"/>
        <strike val="0"/>
        <outline val="0"/>
        <shadow val="0"/>
        <u val="none"/>
        <vertAlign val="baseline"/>
        <sz val="8"/>
        <color rgb="FF111827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827"/>
        <name val="Courier New"/>
        <family val="3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" displayName="Detalle" ref="A16:E23">
  <autoFilter ref="A16:E23" xr:uid="{00000000-0009-0000-0100-000001000000}"/>
  <tableColumns count="5">
    <tableColumn id="1" xr3:uid="{00000000-0010-0000-0000-000001000000}" name="Id_Producto" dataDxfId="1"/>
    <tableColumn id="2" xr3:uid="{00000000-0010-0000-0000-000002000000}" name="Descripcion" dataDxfId="0"/>
    <tableColumn id="3" xr3:uid="{00000000-0010-0000-0000-000003000000}" name="CantidadOfertada" dataDxfId="2"/>
    <tableColumn id="4" xr3:uid="{00000000-0010-0000-0000-000004000000}" name="PrecioUnitario"/>
    <tableColumn id="5" xr3:uid="{00000000-0010-0000-0000-000005000000}" name="SubtotalLin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2" zoomScale="85" zoomScaleNormal="85" workbookViewId="0">
      <selection activeCell="F22" sqref="F22"/>
    </sheetView>
  </sheetViews>
  <sheetFormatPr baseColWidth="10" defaultColWidth="8.88671875" defaultRowHeight="14.4" x14ac:dyDescent="0.3"/>
  <cols>
    <col min="1" max="1" width="18" customWidth="1"/>
    <col min="2" max="2" width="38" customWidth="1"/>
    <col min="3" max="3" width="14" customWidth="1"/>
    <col min="4" max="5" width="16" customWidth="1"/>
  </cols>
  <sheetData>
    <row r="1" spans="1:5" ht="25.8" x14ac:dyDescent="0.5">
      <c r="A1" s="18" t="s">
        <v>34</v>
      </c>
      <c r="B1" s="19"/>
      <c r="C1" s="1" t="s">
        <v>35</v>
      </c>
      <c r="D1" s="16">
        <v>102</v>
      </c>
    </row>
    <row r="3" spans="1:5" ht="15.6" x14ac:dyDescent="0.3">
      <c r="A3" s="1" t="s">
        <v>0</v>
      </c>
    </row>
    <row r="4" spans="1:5" x14ac:dyDescent="0.3">
      <c r="A4" s="2" t="s">
        <v>1</v>
      </c>
      <c r="B4" s="8" t="s">
        <v>29</v>
      </c>
    </row>
    <row r="5" spans="1:5" x14ac:dyDescent="0.3">
      <c r="A5" s="2" t="s">
        <v>2</v>
      </c>
      <c r="B5" s="14">
        <v>20123456789</v>
      </c>
    </row>
    <row r="6" spans="1:5" x14ac:dyDescent="0.3">
      <c r="A6" s="2" t="s">
        <v>3</v>
      </c>
      <c r="B6" t="s">
        <v>4</v>
      </c>
    </row>
    <row r="7" spans="1:5" x14ac:dyDescent="0.3">
      <c r="A7" s="2" t="s">
        <v>5</v>
      </c>
      <c r="B7" t="s">
        <v>6</v>
      </c>
    </row>
    <row r="9" spans="1:5" ht="15.6" x14ac:dyDescent="0.3">
      <c r="A9" s="1" t="s">
        <v>7</v>
      </c>
    </row>
    <row r="10" spans="1:5" x14ac:dyDescent="0.3">
      <c r="A10" s="2" t="s">
        <v>30</v>
      </c>
      <c r="B10" s="14">
        <v>20456789123</v>
      </c>
      <c r="D10" s="2" t="s">
        <v>8</v>
      </c>
      <c r="E10" t="s">
        <v>9</v>
      </c>
    </row>
    <row r="11" spans="1:5" x14ac:dyDescent="0.3">
      <c r="A11" s="2" t="s">
        <v>10</v>
      </c>
      <c r="B11" s="15" t="s">
        <v>31</v>
      </c>
      <c r="D11" s="2" t="s">
        <v>11</v>
      </c>
    </row>
    <row r="12" spans="1:5" x14ac:dyDescent="0.3">
      <c r="A12" s="2" t="s">
        <v>3</v>
      </c>
      <c r="B12" s="15" t="s">
        <v>32</v>
      </c>
      <c r="D12" s="2" t="s">
        <v>12</v>
      </c>
      <c r="E12" t="s">
        <v>13</v>
      </c>
    </row>
    <row r="13" spans="1:5" x14ac:dyDescent="0.3">
      <c r="A13" s="2" t="s">
        <v>14</v>
      </c>
      <c r="B13" s="9" t="s">
        <v>33</v>
      </c>
      <c r="D13" s="2" t="s">
        <v>15</v>
      </c>
      <c r="E13" t="s">
        <v>16</v>
      </c>
    </row>
    <row r="16" spans="1:5" x14ac:dyDescent="0.3">
      <c r="A16" s="3" t="s">
        <v>17</v>
      </c>
      <c r="B16" s="3" t="s">
        <v>18</v>
      </c>
      <c r="C16" s="3" t="s">
        <v>19</v>
      </c>
      <c r="D16" s="3" t="s">
        <v>20</v>
      </c>
      <c r="E16" s="3" t="s">
        <v>21</v>
      </c>
    </row>
    <row r="17" spans="1:5" x14ac:dyDescent="0.3">
      <c r="A17" s="12">
        <v>1019</v>
      </c>
      <c r="B17" s="13" t="s">
        <v>36</v>
      </c>
      <c r="C17" s="4">
        <v>40</v>
      </c>
      <c r="D17" s="4">
        <v>9</v>
      </c>
      <c r="E17" s="5">
        <f>IFERROR(C17*D17,"")</f>
        <v>360</v>
      </c>
    </row>
    <row r="18" spans="1:5" x14ac:dyDescent="0.3">
      <c r="A18" s="12">
        <v>1028</v>
      </c>
      <c r="B18" s="13" t="s">
        <v>37</v>
      </c>
      <c r="C18" s="4">
        <v>50</v>
      </c>
      <c r="D18" s="4">
        <v>7</v>
      </c>
      <c r="E18" s="5">
        <f>IFERROR(C18*D18,"")</f>
        <v>350</v>
      </c>
    </row>
    <row r="19" spans="1:5" x14ac:dyDescent="0.3">
      <c r="A19" s="12">
        <v>1020</v>
      </c>
      <c r="B19" s="13" t="s">
        <v>38</v>
      </c>
      <c r="C19" s="4">
        <v>80</v>
      </c>
      <c r="D19" s="4">
        <v>5</v>
      </c>
      <c r="E19" s="5">
        <f>IFERROR(C19*D19,"")</f>
        <v>400</v>
      </c>
    </row>
    <row r="20" spans="1:5" x14ac:dyDescent="0.3">
      <c r="A20" s="12">
        <v>1033</v>
      </c>
      <c r="B20" s="13" t="s">
        <v>39</v>
      </c>
      <c r="C20" s="21">
        <v>50</v>
      </c>
      <c r="D20">
        <v>9</v>
      </c>
      <c r="E20" s="5">
        <f t="shared" ref="E20:E23" si="0">IFERROR(C20*D20,"")</f>
        <v>450</v>
      </c>
    </row>
    <row r="21" spans="1:5" x14ac:dyDescent="0.3">
      <c r="A21" s="12">
        <v>1032</v>
      </c>
      <c r="B21" s="13" t="s">
        <v>26</v>
      </c>
      <c r="C21" s="21">
        <v>40</v>
      </c>
      <c r="D21" s="17">
        <v>12</v>
      </c>
      <c r="E21" s="5">
        <f t="shared" si="0"/>
        <v>480</v>
      </c>
    </row>
    <row r="22" spans="1:5" x14ac:dyDescent="0.3">
      <c r="A22" s="12">
        <v>1033</v>
      </c>
      <c r="B22" s="13" t="s">
        <v>27</v>
      </c>
      <c r="C22" s="21">
        <v>60</v>
      </c>
      <c r="D22" s="17">
        <v>5</v>
      </c>
      <c r="E22" s="5">
        <f t="shared" si="0"/>
        <v>300</v>
      </c>
    </row>
    <row r="23" spans="1:5" x14ac:dyDescent="0.3">
      <c r="A23" s="12">
        <v>1040</v>
      </c>
      <c r="B23" s="13" t="s">
        <v>28</v>
      </c>
      <c r="C23" s="21">
        <v>30</v>
      </c>
      <c r="D23" s="17">
        <v>8</v>
      </c>
      <c r="E23" s="5">
        <f t="shared" si="0"/>
        <v>240</v>
      </c>
    </row>
    <row r="24" spans="1:5" s="17" customFormat="1" x14ac:dyDescent="0.3">
      <c r="A24" s="22"/>
      <c r="B24" s="23"/>
      <c r="C24" s="24"/>
    </row>
    <row r="25" spans="1:5" x14ac:dyDescent="0.3">
      <c r="D25" s="2" t="s">
        <v>22</v>
      </c>
      <c r="E25" s="6">
        <f>SUM(E17:E23)</f>
        <v>2580</v>
      </c>
    </row>
    <row r="26" spans="1:5" x14ac:dyDescent="0.3">
      <c r="D26" s="2" t="s">
        <v>23</v>
      </c>
      <c r="E26" s="6">
        <f>ROUND(E25*0.18,2)</f>
        <v>464.4</v>
      </c>
    </row>
    <row r="27" spans="1:5" x14ac:dyDescent="0.3">
      <c r="D27" s="2" t="s">
        <v>24</v>
      </c>
      <c r="E27" s="7">
        <f>E25+E26</f>
        <v>3044.4</v>
      </c>
    </row>
    <row r="29" spans="1:5" x14ac:dyDescent="0.3">
      <c r="A29" s="20" t="s">
        <v>25</v>
      </c>
      <c r="B29" s="19"/>
      <c r="C29" s="19"/>
      <c r="D29" s="19"/>
      <c r="E29" s="19"/>
    </row>
    <row r="34" spans="3:4" ht="15" thickBot="1" x14ac:dyDescent="0.35">
      <c r="C34" s="11"/>
      <c r="D34" s="10"/>
    </row>
    <row r="35" spans="3:4" ht="15" thickBot="1" x14ac:dyDescent="0.35">
      <c r="C35" s="11"/>
      <c r="D35" s="10"/>
    </row>
  </sheetData>
  <mergeCells count="2">
    <mergeCell ref="A1:B1"/>
    <mergeCell ref="A29:E29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2025-11-01T20:32:17Z</dcterms:created>
  <dcterms:modified xsi:type="dcterms:W3CDTF">2025-11-12T03:12:25Z</dcterms:modified>
</cp:coreProperties>
</file>