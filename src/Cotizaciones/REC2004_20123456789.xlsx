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BDE2DF3A-8E79-4C25-964C-1C7AB6BB41AA}" xr6:coauthVersionLast="47" xr6:coauthVersionMax="47" xr10:uidLastSave="{00000000-0000-0000-0000-000000000000}"/>
  <bookViews>
    <workbookView xWindow="4752" yWindow="2784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9" i="1"/>
  <c r="E20" i="1"/>
  <c r="E21" i="1"/>
  <c r="E22" i="1"/>
  <c r="E23" i="1"/>
  <c r="E24" i="1"/>
  <c r="E17" i="1"/>
  <c r="E26" i="1" l="1"/>
  <c r="E27" i="1" s="1"/>
  <c r="E28" i="1" s="1"/>
</calcChain>
</file>

<file path=xl/sharedStrings.xml><?xml version="1.0" encoding="utf-8"?>
<sst xmlns="http://schemas.openxmlformats.org/spreadsheetml/2006/main" count="44" uniqueCount="43">
  <si>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</si>
  <si>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</si>
  <si>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</si>
  <si>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</si>
  <si>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</si>
  <si>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</si>
  <si>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</si>
  <si>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</si>
  <si>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20123456789</t>
  </si>
  <si>
    <t>FechaEmision</t>
  </si>
  <si>
    <t>2025-11-01</t>
  </si>
  <si>
    <t>Razón Social:</t>
  </si>
  <si>
    <t>Proveedor S.A.C.</t>
  </si>
  <si>
    <t>FechaRecepcion (opcional)</t>
  </si>
  <si>
    <t>Av. Ejemplo 123, Lima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</si>
  <si>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</si>
  <si>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</si>
  <si>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</si>
  <si>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</si>
  <si>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</si>
  <si>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</si>
  <si>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</si>
  <si>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</si>
  <si>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</si>
  <si>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</si>
  <si>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</si>
  <si>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</si>
  <si>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</si>
  <si>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</si>
  <si>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hugovertiz71@gmail.com</t>
  </si>
  <si>
    <t>Mundo Patitas SAC</t>
  </si>
  <si>
    <t>RUC:</t>
  </si>
  <si>
    <t>Cotización de Productos</t>
  </si>
  <si>
    <t>Dentastix para perros pequeños 3pzas</t>
  </si>
  <si>
    <t>Hueso Dental Chiquito</t>
  </si>
  <si>
    <t>Felix Party Mix 60g</t>
  </si>
  <si>
    <t>Cotizacion N°</t>
  </si>
  <si>
    <t/>
  </si>
  <si>
    <t>Felix Fantastic Gato 85g</t>
  </si>
  <si>
    <t>Mezcla de Semillas para Aves 1kg</t>
  </si>
  <si>
    <t>Snack Mixto Para Aves Tropicales 500g</t>
  </si>
  <si>
    <t>Snack Saludable Para Perro 100g</t>
  </si>
  <si>
    <t>Whiskas Adulto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</si>
</sst>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24">
  <autoFilter ref="A16:E24" xr:uid="{00000000-0009-0000-0100-000001000000}"/>
  <sortState xmlns:xlrd2="http://schemas.microsoft.com/office/spreadsheetml/2017/richdata2" ref="A17:E24">
    <sortCondition ref="B16:B24"/>
  </sortState>
  <tableColumns count="5">
    <tableColumn id="1" xr3:uid="{00000000-0010-0000-0000-000001000000}" name="Id_Producto" dataDxfId="0"/>
    <tableColumn id="2" xr3:uid="{00000000-0010-0000-0000-000002000000}" name="Descripcion" dataDxfId="2"/>
    <tableColumn id="3" xr3:uid="{00000000-0010-0000-0000-000003000000}" name="CantidadOfertada" dataDxfId="1"/>
    <tableColumn id="4" xr3:uid="{00000000-0010-0000-0000-000004000000}" name="PrecioUnitario"/>
    <tableColumn id="5" xr3:uid="{00000000-0010-0000-0000-000005000000}" name="SubtotalLinea">
      <calculatedColumnFormula>IFERROR(C17*D17,"")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ugovertiz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85" zoomScaleNormal="85" workbookViewId="0">
      <selection activeCell="F22" sqref="F22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8" t="s">
        <v>32</v>
      </c>
      <c r="B1" s="19"/>
      <c r="C1" s="1" t="s">
        <v>36</v>
      </c>
      <c r="D1" s="15">
        <v>55555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30</v>
      </c>
      <c r="E4" s="17" t="s">
        <v>37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31</v>
      </c>
      <c r="B10" t="s">
        <v>8</v>
      </c>
      <c r="D10" s="2" t="s">
        <v>9</v>
      </c>
      <c r="E10" t="s">
        <v>10</v>
      </c>
    </row>
    <row r="11" spans="1:5" x14ac:dyDescent="0.3">
      <c r="A11" s="2" t="s">
        <v>11</v>
      </c>
      <c r="B11" t="s">
        <v>12</v>
      </c>
      <c r="D11" s="2" t="s">
        <v>13</v>
      </c>
    </row>
    <row r="12" spans="1:5" x14ac:dyDescent="0.3">
      <c r="A12" s="2" t="s">
        <v>3</v>
      </c>
      <c r="B12" t="s">
        <v>14</v>
      </c>
      <c r="D12" s="2" t="s">
        <v>15</v>
      </c>
      <c r="E12" t="s">
        <v>16</v>
      </c>
    </row>
    <row r="13" spans="1:5" x14ac:dyDescent="0.3">
      <c r="A13" s="2" t="s">
        <v>17</v>
      </c>
      <c r="B13" s="9" t="s">
        <v>29</v>
      </c>
      <c r="D13" s="2" t="s">
        <v>18</v>
      </c>
      <c r="E13" t="s">
        <v>19</v>
      </c>
    </row>
    <row r="16" spans="1:5" x14ac:dyDescent="0.3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</row>
    <row r="17" spans="1:5" x14ac:dyDescent="0.3">
      <c r="A17" s="12">
        <v>1028</v>
      </c>
      <c r="B17" s="13" t="s">
        <v>33</v>
      </c>
      <c r="C17" s="4">
        <v>200</v>
      </c>
      <c r="D17" s="4">
        <v>5</v>
      </c>
      <c r="E17" s="5">
        <f>IFERROR(C17*D17,"")</f>
        <v>1000</v>
      </c>
    </row>
    <row r="18" spans="1:5" x14ac:dyDescent="0.3">
      <c r="A18" s="12">
        <v>1017</v>
      </c>
      <c r="B18" s="13" t="s">
        <v>38</v>
      </c>
      <c r="C18" s="4">
        <v>100</v>
      </c>
      <c r="D18" s="4">
        <v>9</v>
      </c>
      <c r="E18" s="5">
        <f t="shared" ref="E18:E24" si="0">IFERROR(C18*D18,"")</f>
        <v>900</v>
      </c>
    </row>
    <row r="19" spans="1:5" s="16" customFormat="1" x14ac:dyDescent="0.3">
      <c r="A19" s="12">
        <v>1018</v>
      </c>
      <c r="B19" s="13" t="s">
        <v>35</v>
      </c>
      <c r="C19" s="4">
        <v>200</v>
      </c>
      <c r="D19" s="4">
        <v>10</v>
      </c>
      <c r="E19" s="5">
        <f t="shared" si="0"/>
        <v>2000</v>
      </c>
    </row>
    <row r="20" spans="1:5" s="16" customFormat="1" x14ac:dyDescent="0.3">
      <c r="A20" s="12">
        <v>1020</v>
      </c>
      <c r="B20" s="13" t="s">
        <v>34</v>
      </c>
      <c r="C20" s="4">
        <v>150</v>
      </c>
      <c r="D20" s="4">
        <v>8</v>
      </c>
      <c r="E20" s="5">
        <f t="shared" si="0"/>
        <v>1200</v>
      </c>
    </row>
    <row r="21" spans="1:5" s="16" customFormat="1" x14ac:dyDescent="0.3">
      <c r="A21" s="12">
        <v>1021</v>
      </c>
      <c r="B21" s="13" t="s">
        <v>39</v>
      </c>
      <c r="C21" s="4">
        <v>60</v>
      </c>
      <c r="D21" s="4">
        <v>12</v>
      </c>
      <c r="E21" s="5">
        <f t="shared" si="0"/>
        <v>720</v>
      </c>
    </row>
    <row r="22" spans="1:5" s="16" customFormat="1" x14ac:dyDescent="0.3">
      <c r="A22" s="12">
        <v>1029</v>
      </c>
      <c r="B22" s="13" t="s">
        <v>40</v>
      </c>
      <c r="C22" s="4">
        <v>100</v>
      </c>
      <c r="D22" s="4">
        <v>3.5</v>
      </c>
      <c r="E22" s="5">
        <f t="shared" si="0"/>
        <v>350</v>
      </c>
    </row>
    <row r="23" spans="1:5" s="16" customFormat="1" x14ac:dyDescent="0.3">
      <c r="A23" s="12">
        <v>1014</v>
      </c>
      <c r="B23" s="13" t="s">
        <v>42</v>
      </c>
      <c r="C23" s="4">
        <v>80</v>
      </c>
      <c r="D23" s="4">
        <v>4</v>
      </c>
      <c r="E23" s="5">
        <f t="shared" si="0"/>
        <v>320</v>
      </c>
    </row>
    <row r="24" spans="1:5" x14ac:dyDescent="0.3">
      <c r="A24" s="12">
        <v>1036</v>
      </c>
      <c r="B24" s="13" t="s">
        <v>41</v>
      </c>
      <c r="C24" s="4">
        <v>150</v>
      </c>
      <c r="D24" s="4">
        <v>6</v>
      </c>
      <c r="E24" s="5">
        <f t="shared" si="0"/>
        <v>900</v>
      </c>
    </row>
    <row r="26" spans="1:5" x14ac:dyDescent="0.3">
      <c r="D26" s="2" t="s">
        <v>25</v>
      </c>
      <c r="E26" s="6">
        <f>SUM(E17:E24)</f>
        <v>7390</v>
      </c>
    </row>
    <row r="27" spans="1:5" x14ac:dyDescent="0.3">
      <c r="D27" s="2" t="s">
        <v>26</v>
      </c>
      <c r="E27" s="6">
        <f>ROUND(E26*0.18,2)</f>
        <v>1330.2</v>
      </c>
    </row>
    <row r="28" spans="1:5" x14ac:dyDescent="0.3">
      <c r="D28" s="2" t="s">
        <v>27</v>
      </c>
      <c r="E28" s="7">
        <f>E26+E27</f>
        <v>8720.2000000000007</v>
      </c>
    </row>
    <row r="30" spans="1:5" x14ac:dyDescent="0.3">
      <c r="A30" s="20" t="s">
        <v>28</v>
      </c>
      <c r="B30" s="19"/>
      <c r="C30" s="19"/>
      <c r="D30" s="19"/>
      <c r="E30" s="19"/>
    </row>
    <row r="35" spans="3:4" ht="15" thickBot="1" x14ac:dyDescent="0.35">
      <c r="C35" s="11"/>
      <c r="D35" s="10"/>
    </row>
    <row r="36" spans="3:4" ht="15" thickBot="1" x14ac:dyDescent="0.35">
      <c r="C36" s="11"/>
      <c r="D36" s="10"/>
    </row>
  </sheetData>
  <mergeCells count="2">
    <mergeCell ref="A1:B1"/>
    <mergeCell ref="A30:E30"/>
  </mergeCells>
  <hyperlinks>
    <hyperlink ref="B13" r:id="rId1" xr:uid="{9AFCD020-A123-4151-A138-EB51AD32A02B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2025-11-12T03:08:08Z</dcterms:modified>
</cp:coreProperties>
</file>