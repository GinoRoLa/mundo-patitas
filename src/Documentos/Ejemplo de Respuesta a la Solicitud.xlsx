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e3\OneDrive\Escritorio\"/>
    </mc:Choice>
  </mc:AlternateContent>
  <xr:revisionPtr revIDLastSave="0" documentId="13_ncr:1_{303AF8F7-F8E7-4DFD-844B-4FA82A2B68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TIZAC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1" l="1"/>
  <c r="E18" i="1"/>
  <c r="E17" i="1"/>
  <c r="E21" i="1" l="1"/>
  <c r="E22" i="1"/>
  <c r="E23" i="1" s="1"/>
</calcChain>
</file>

<file path=xl/sharedStrings.xml><?xml version="1.0" encoding="utf-8"?>
<sst xmlns="http://schemas.openxmlformats.org/spreadsheetml/2006/main" count="37" uniqueCount="36">
  <si>
    <t>Datos del Cliente</t>
  </si>
  <si>
    <t>Cliente:</t>
  </si>
  <si>
    <t>Documento:</t>
  </si>
  <si>
    <t>Dirección:</t>
  </si>
  <si>
    <t>Calle y número, Distrito, Ciudad</t>
  </si>
  <si>
    <t>Contacto:</t>
  </si>
  <si>
    <t>Nombre y teléfono</t>
  </si>
  <si>
    <t>Datos del Emisor (Proveedor)</t>
  </si>
  <si>
    <t>20123456789</t>
  </si>
  <si>
    <t>FechaEmision</t>
  </si>
  <si>
    <t>2025-11-01</t>
  </si>
  <si>
    <t>Razón Social:</t>
  </si>
  <si>
    <t>Proveedor S.A.C.</t>
  </si>
  <si>
    <t>FechaRecepcion (opcional)</t>
  </si>
  <si>
    <t>Av. Ejemplo 123, Lima</t>
  </si>
  <si>
    <t>Moneda</t>
  </si>
  <si>
    <t>PEN</t>
  </si>
  <si>
    <t>Correo:</t>
  </si>
  <si>
    <t>Observaciones</t>
  </si>
  <si>
    <t>Vigencia: 7 días. Forma de pago: transferencia.</t>
  </si>
  <si>
    <t>Id_Producto</t>
  </si>
  <si>
    <t>Descripcion</t>
  </si>
  <si>
    <t>CantidadOfertada</t>
  </si>
  <si>
    <t>PrecioUnitario</t>
  </si>
  <si>
    <t>SubtotalLinea</t>
  </si>
  <si>
    <t>SubTotal</t>
  </si>
  <si>
    <t>IGV (18%)</t>
  </si>
  <si>
    <t>TOTAL</t>
  </si>
  <si>
    <t>NOTA: El sistema leerá solo los campos necesarios. El Id_Requerimiento se tomará del nombre de archivo REC{IdReq}_{RUC}.xlsx</t>
  </si>
  <si>
    <t>hugovertiz71@gmail.com</t>
  </si>
  <si>
    <t>Termómetro Digital Acuario</t>
  </si>
  <si>
    <t>Vitaminas de Salmón para Gato 500ml</t>
  </si>
  <si>
    <t>Vitaminas Multinivel para Perro 250g</t>
  </si>
  <si>
    <t>Mundo Patitas SAC</t>
  </si>
  <si>
    <t>RUC:</t>
  </si>
  <si>
    <t>Cotización de Productos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</si>
</sst>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20"/>
      <color rgb="FF1F4E79"/>
      <name val="Calibri"/>
      <family val="2"/>
    </font>
    <font>
      <b/>
      <sz val="12"/>
      <color rgb="FF1F4E7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8"/>
      <color rgb="FF11182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rgb="FFE2E8F0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6" fillId="0" borderId="0" applyNumberForma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1" fillId="0" borderId="1" xfId="1">
      <alignment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4" fontId="0" fillId="0" borderId="2" xfId="0" applyNumberFormat="1" applyBorder="1" applyAlignment="1">
      <alignment horizontal="right" vertical="center"/>
    </xf>
    <xf numFmtId="4" fontId="0" fillId="0" borderId="0" xfId="0" applyNumberFormat="1"/>
    <xf numFmtId="4" fontId="5" fillId="0" borderId="0" xfId="0" applyNumberFormat="1" applyFont="1"/>
    <xf numFmtId="0" fontId="6" fillId="0" borderId="0" xfId="2"/>
    <xf numFmtId="0" fontId="7" fillId="0" borderId="3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right" vertical="center" wrapText="1" inden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/>
    <xf numFmtId="0" fontId="0" fillId="0" borderId="0" xfId="0"/>
    <xf numFmtId="0" fontId="0" fillId="0" borderId="0" xfId="0" applyAlignment="1">
      <alignment wrapText="1"/>
    </xf>
  </cellXfs>
  <cellStyles count="3">
    <cellStyle name="Hipervínculo" xfId="2" builtinId="8"/>
    <cellStyle name="label_style" xfId="1" xr:uid="{00000000-0005-0000-0000-000001000000}"/>
    <cellStyle name="Normal" xfId="0" builtinId="0"/>
  </cellStyles>
  <dxfs count="3">
    <dxf>
      <border outline="0">
        <left style="thin">
          <color rgb="FFD9D9D9"/>
        </left>
      </border>
    </dxf>
    <dxf>
      <font>
        <b val="0"/>
        <strike val="0"/>
        <outline val="0"/>
        <shadow val="0"/>
        <u val="none"/>
        <vertAlign val="baseline"/>
        <sz val="8"/>
        <color rgb="FF111827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111827"/>
        <name val="Courier New"/>
        <family val="3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talle" displayName="Detalle" ref="A16:E19">
  <autoFilter ref="A16:E19" xr:uid="{00000000-0009-0000-0100-000001000000}"/>
  <tableColumns count="5">
    <tableColumn id="1" xr3:uid="{00000000-0010-0000-0000-000001000000}" name="Id_Producto" dataDxfId="2"/>
    <tableColumn id="2" xr3:uid="{00000000-0010-0000-0000-000002000000}" name="Descripcion" dataDxfId="1"/>
    <tableColumn id="3" xr3:uid="{00000000-0010-0000-0000-000003000000}" name="CantidadOfertada" dataDxfId="0"/>
    <tableColumn id="4" xr3:uid="{00000000-0010-0000-0000-000004000000}" name="PrecioUnitario"/>
    <tableColumn id="5" xr3:uid="{00000000-0010-0000-0000-000005000000}" name="SubtotalLine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hugovertiz7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zoomScale="115" zoomScaleNormal="115" workbookViewId="0">
      <selection activeCell="C4" sqref="C4"/>
    </sheetView>
  </sheetViews>
  <sheetFormatPr baseColWidth="10" defaultColWidth="8.85546875" defaultRowHeight="15" x14ac:dyDescent="0.25"/>
  <cols>
    <col min="1" max="1" width="18" customWidth="1"/>
    <col min="2" max="2" width="38" customWidth="1"/>
    <col min="3" max="3" width="14" customWidth="1"/>
    <col min="4" max="5" width="16" customWidth="1"/>
  </cols>
  <sheetData>
    <row r="1" spans="1:5" ht="26.25" x14ac:dyDescent="0.4">
      <c r="A1" s="14" t="s">
        <v>35</v>
      </c>
      <c r="B1" s="15"/>
    </row>
    <row r="3" spans="1:5" ht="15.75" x14ac:dyDescent="0.25">
      <c r="A3" s="1" t="s">
        <v>0</v>
      </c>
    </row>
    <row r="4" spans="1:5" x14ac:dyDescent="0.25">
      <c r="A4" s="2" t="s">
        <v>1</v>
      </c>
      <c r="B4" t="s">
        <v>33</v>
      </c>
    </row>
    <row r="5" spans="1:5" x14ac:dyDescent="0.25">
      <c r="A5" s="2" t="s">
        <v>2</v>
      </c>
      <c r="B5" s="13">
        <v>20123456789</v>
      </c>
    </row>
    <row r="6" spans="1:5" x14ac:dyDescent="0.25">
      <c r="A6" s="2" t="s">
        <v>3</v>
      </c>
      <c r="B6" t="s">
        <v>4</v>
      </c>
    </row>
    <row r="7" spans="1:5" x14ac:dyDescent="0.25">
      <c r="A7" s="2" t="s">
        <v>5</v>
      </c>
      <c r="B7" t="s">
        <v>6</v>
      </c>
    </row>
    <row r="9" spans="1:5" ht="15.75" x14ac:dyDescent="0.25">
      <c r="A9" s="1" t="s">
        <v>7</v>
      </c>
    </row>
    <row r="10" spans="1:5" x14ac:dyDescent="0.25">
      <c r="A10" s="2" t="s">
        <v>34</v>
      </c>
      <c r="B10" t="s">
        <v>8</v>
      </c>
      <c r="D10" s="2" t="s">
        <v>9</v>
      </c>
      <c r="E10" t="s">
        <v>10</v>
      </c>
    </row>
    <row r="11" spans="1:5" x14ac:dyDescent="0.25">
      <c r="A11" s="2" t="s">
        <v>11</v>
      </c>
      <c r="B11" t="s">
        <v>12</v>
      </c>
      <c r="D11" s="2" t="s">
        <v>13</v>
      </c>
    </row>
    <row r="12" spans="1:5" x14ac:dyDescent="0.25">
      <c r="A12" s="2" t="s">
        <v>3</v>
      </c>
      <c r="B12" t="s">
        <v>14</v>
      </c>
      <c r="D12" s="2" t="s">
        <v>15</v>
      </c>
      <c r="E12" t="s">
        <v>16</v>
      </c>
    </row>
    <row r="13" spans="1:5" x14ac:dyDescent="0.25">
      <c r="A13" s="2" t="s">
        <v>17</v>
      </c>
      <c r="B13" s="8" t="s">
        <v>29</v>
      </c>
      <c r="D13" s="2" t="s">
        <v>18</v>
      </c>
      <c r="E13" t="s">
        <v>19</v>
      </c>
    </row>
    <row r="16" spans="1:5" x14ac:dyDescent="0.25">
      <c r="A16" s="3" t="s">
        <v>20</v>
      </c>
      <c r="B16" s="3" t="s">
        <v>21</v>
      </c>
      <c r="C16" s="3" t="s">
        <v>22</v>
      </c>
      <c r="D16" s="3" t="s">
        <v>23</v>
      </c>
      <c r="E16" s="3" t="s">
        <v>24</v>
      </c>
    </row>
    <row r="17" spans="1:5" x14ac:dyDescent="0.25">
      <c r="A17" s="11">
        <v>1046</v>
      </c>
      <c r="B17" s="12" t="s">
        <v>30</v>
      </c>
      <c r="C17" s="4">
        <v>50</v>
      </c>
      <c r="D17" s="4">
        <v>10</v>
      </c>
      <c r="E17" s="5">
        <f>IFERROR(C17*D17,"")</f>
        <v>500</v>
      </c>
    </row>
    <row r="18" spans="1:5" x14ac:dyDescent="0.25">
      <c r="A18" s="11">
        <v>1027</v>
      </c>
      <c r="B18" s="12" t="s">
        <v>31</v>
      </c>
      <c r="C18" s="4">
        <v>30</v>
      </c>
      <c r="D18" s="4">
        <v>8</v>
      </c>
      <c r="E18" s="5">
        <f>IFERROR(C18*D18,"")</f>
        <v>240</v>
      </c>
    </row>
    <row r="19" spans="1:5" x14ac:dyDescent="0.25">
      <c r="A19" s="11">
        <v>1026</v>
      </c>
      <c r="B19" s="12" t="s">
        <v>32</v>
      </c>
      <c r="C19" s="4">
        <v>100</v>
      </c>
      <c r="D19" s="4">
        <v>5</v>
      </c>
      <c r="E19" s="5">
        <f>IFERROR(C19*D19,"")</f>
        <v>500</v>
      </c>
    </row>
    <row r="21" spans="1:5" x14ac:dyDescent="0.25">
      <c r="D21" s="2" t="s">
        <v>25</v>
      </c>
      <c r="E21" s="6">
        <f>SUM(E17:E19)</f>
        <v>1240</v>
      </c>
    </row>
    <row r="22" spans="1:5" x14ac:dyDescent="0.25">
      <c r="D22" s="2" t="s">
        <v>26</v>
      </c>
      <c r="E22" s="6">
        <f>ROUND(E21*0.18,2)</f>
        <v>223.2</v>
      </c>
    </row>
    <row r="23" spans="1:5" x14ac:dyDescent="0.25">
      <c r="D23" s="2" t="s">
        <v>27</v>
      </c>
      <c r="E23" s="7">
        <f>E21+E22</f>
        <v>1463.2</v>
      </c>
    </row>
    <row r="25" spans="1:5" x14ac:dyDescent="0.25">
      <c r="A25" s="16" t="s">
        <v>28</v>
      </c>
      <c r="B25" s="15"/>
      <c r="C25" s="15"/>
      <c r="D25" s="15"/>
      <c r="E25" s="15"/>
    </row>
    <row r="30" spans="1:5" ht="15.75" thickBot="1" x14ac:dyDescent="0.3">
      <c r="C30" s="10"/>
      <c r="D30" s="9"/>
    </row>
    <row r="31" spans="1:5" ht="15.75" thickBot="1" x14ac:dyDescent="0.3">
      <c r="C31" s="10"/>
      <c r="D31" s="9"/>
    </row>
  </sheetData>
  <mergeCells count="2">
    <mergeCell ref="A1:B1"/>
    <mergeCell ref="A25:E25"/>
  </mergeCells>
  <hyperlinks>
    <hyperlink ref="B13" r:id="rId1" xr:uid="{9AFCD020-A123-4151-A138-EB51AD32A02B}"/>
  </hyperlinks>
  <pageMargins left="0.75" right="0.75" top="1" bottom="1" header="0.5" footer="0.5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Enrique Elias Cruz Castillo</cp:lastModifiedBy>
  <dcterms:created xsi:type="dcterms:W3CDTF">2025-11-01T20:32:17Z</dcterms:created>
  <dcterms:modified xsi:type="dcterms:W3CDTF">2025-11-12T23:21:23Z</dcterms:modified>
</cp:coreProperties>
</file>